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dyildizedu-my.sharepoint.com/personal/seldemir_yildiz_edu_tr/Documents/YAZILIM PROJELERİM/PROCERA/MAKALE ADAYI 2/ACTIVITIES/PR-001. THINK YOU DON'T NEED A CLARIFIER/"/>
    </mc:Choice>
  </mc:AlternateContent>
  <xr:revisionPtr revIDLastSave="388" documentId="11_66174F24F608B6D7431E05A6C92D535463DFB474" xr6:coauthVersionLast="47" xr6:coauthVersionMax="47" xr10:uidLastSave="{0A2CC05B-449F-47A0-A0A5-933C16E721D1}"/>
  <bookViews>
    <workbookView xWindow="-120" yWindow="-120" windowWidth="29040" windowHeight="15720" firstSheet="1" activeTab="1" xr2:uid="{00000000-000D-0000-FFFF-FFFF00000000}"/>
  </bookViews>
  <sheets>
    <sheet name="Lists" sheetId="3" state="hidden" r:id="rId1"/>
    <sheet name="Activity Info" sheetId="1" r:id="rId2"/>
    <sheet name="Q1" sheetId="4" r:id="rId3"/>
    <sheet name="Q2" sheetId="5" r:id="rId4"/>
    <sheet name="Q3" sheetId="6" state="hidden" r:id="rId5"/>
    <sheet name="Q4" sheetId="7" state="hidden" r:id="rId6"/>
    <sheet name="Q5" sheetId="8"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1" i="5"/>
  <c r="A1" i="6"/>
  <c r="A1" i="7"/>
  <c r="A1" i="8"/>
  <c r="G4" i="4"/>
  <c r="G4" i="5"/>
  <c r="G4" i="6"/>
  <c r="G7" i="6"/>
  <c r="G6" i="6"/>
  <c r="G5" i="6"/>
  <c r="G8" i="6"/>
  <c r="G8" i="5"/>
  <c r="G7" i="5"/>
  <c r="G6" i="5"/>
  <c r="G5" i="5"/>
  <c r="G8" i="4"/>
  <c r="G7" i="4"/>
  <c r="G5" i="4"/>
  <c r="G6" i="4"/>
  <c r="G22" i="1"/>
</calcChain>
</file>

<file path=xl/sharedStrings.xml><?xml version="1.0" encoding="utf-8"?>
<sst xmlns="http://schemas.openxmlformats.org/spreadsheetml/2006/main" count="372" uniqueCount="238">
  <si>
    <t>Bloom Level</t>
  </si>
  <si>
    <t>Short meaning</t>
  </si>
  <si>
    <t>ABET PO</t>
  </si>
  <si>
    <t>Short descriptor</t>
  </si>
  <si>
    <t>EUR-ACE PO</t>
  </si>
  <si>
    <t>Learning area</t>
  </si>
  <si>
    <t>MÜDEK PO</t>
  </si>
  <si>
    <t>Program Outcome</t>
  </si>
  <si>
    <t>ALO Mapping Options</t>
  </si>
  <si>
    <t>Inactive list</t>
  </si>
  <si>
    <t>Notes / Sources</t>
  </si>
  <si>
    <t>Reference</t>
  </si>
  <si>
    <t>Question IDs</t>
  </si>
  <si>
    <t>Remember</t>
  </si>
  <si>
    <t>Recall or recognize information</t>
  </si>
  <si>
    <t>PO-1</t>
  </si>
  <si>
    <t>Complex engineering problem solving</t>
  </si>
  <si>
    <t>Knowledge and Understanding</t>
  </si>
  <si>
    <t>PÇ-1.1</t>
  </si>
  <si>
    <t>Adequate knowledge of mathematics and natural sciences.</t>
  </si>
  <si>
    <t>ALO-1</t>
  </si>
  <si>
    <t>EUR-ACE numbering</t>
  </si>
  <si>
    <t>PO-1...PO-8 are internal workbook labels for the eight EAFSG learning areas.</t>
  </si>
  <si>
    <t>Q1</t>
  </si>
  <si>
    <t>Understand</t>
  </si>
  <si>
    <t>Explain, interpret, summarize, classify, or compare</t>
  </si>
  <si>
    <t>PO-2</t>
  </si>
  <si>
    <t>Engineering design under specified needs and contextual constraints</t>
  </si>
  <si>
    <t>Engineering Analysis</t>
  </si>
  <si>
    <t>PÇ-1.2</t>
  </si>
  <si>
    <t>Adequate knowledge of subjects specific to Environmental Engineering.</t>
  </si>
  <si>
    <t>ALO-2</t>
  </si>
  <si>
    <t>ABET source</t>
  </si>
  <si>
    <t>https://www.abet.org/accreditation/accreditation-criteria/criteria-for-accrediting-engineering-programs-2026-2027/</t>
  </si>
  <si>
    <t>Q2</t>
  </si>
  <si>
    <t>Apply</t>
  </si>
  <si>
    <t>Use a known procedure or method in a given situation</t>
  </si>
  <si>
    <t>PO-3</t>
  </si>
  <si>
    <t>Effective communication</t>
  </si>
  <si>
    <t>Engineering Design</t>
  </si>
  <si>
    <t>PÇ-1.3</t>
  </si>
  <si>
    <t>Ability to apply theoretical and practical knowledge in these areas to complex engineering problems.</t>
  </si>
  <si>
    <t>ALO-3</t>
  </si>
  <si>
    <t>EUR-ACE source</t>
  </si>
  <si>
    <t>https://www.enaee.eu/wp-content/uploads/2022/03/EAFSG-04112021-English-1-1.pdf</t>
  </si>
  <si>
    <t>Q3</t>
  </si>
  <si>
    <t>Analyze</t>
  </si>
  <si>
    <t>Break information into parts and determine relationships</t>
  </si>
  <si>
    <t>PO-4</t>
  </si>
  <si>
    <t>Ethical/professional responsibility and informed judgment</t>
  </si>
  <si>
    <t>Investigations</t>
  </si>
  <si>
    <t>PÇ-2.1</t>
  </si>
  <si>
    <t>Ability to identify, define, formulate, and solve complex engineering problems.</t>
  </si>
  <si>
    <t>ALO-4</t>
  </si>
  <si>
    <t>MÜDEK / departmental PÇ</t>
  </si>
  <si>
    <t>PÇ list supplied for the Environmental Engineering program; version not specified.</t>
  </si>
  <si>
    <t>Q4</t>
  </si>
  <si>
    <t>Evaluate</t>
  </si>
  <si>
    <t>Make a judgment using criteria or standards</t>
  </si>
  <si>
    <t>PO-5</t>
  </si>
  <si>
    <t>Effective teamwork</t>
  </si>
  <si>
    <t>Engineering Practice</t>
  </si>
  <si>
    <t>PÇ-2.2</t>
  </si>
  <si>
    <t>Ability to select and apply appropriate analysis and modeling methods for this purpose.</t>
  </si>
  <si>
    <t>ALO-5</t>
  </si>
  <si>
    <t>ALO rule</t>
  </si>
  <si>
    <t>Define ALOs consecutively from ALO-1. Up to five ALOs are supported.</t>
  </si>
  <si>
    <t>Q5</t>
  </si>
  <si>
    <t>Create</t>
  </si>
  <si>
    <t>Generate, plan, or produce a new solution or product</t>
  </si>
  <si>
    <t>PO-6</t>
  </si>
  <si>
    <t>Experimentation, data interpretation, and engineering judgment</t>
  </si>
  <si>
    <t>Making Judgements</t>
  </si>
  <si>
    <t>PÇ-3.1</t>
  </si>
  <si>
    <t>Ability to design a complex system, process, device, or product to meet specified requirements under realistic constraints and conditions.</t>
  </si>
  <si>
    <t>PO-7</t>
  </si>
  <si>
    <t>Acquire and apply new knowledge</t>
  </si>
  <si>
    <t>Communication and Team-working</t>
  </si>
  <si>
    <t>PÇ-3.2</t>
  </si>
  <si>
    <t>Ability to apply modern design methods for this purpose.</t>
  </si>
  <si>
    <t>PO-8</t>
  </si>
  <si>
    <t>Lifelong Learning</t>
  </si>
  <si>
    <t>PÇ-4.1</t>
  </si>
  <si>
    <t>Ability to develop, select, and use modern techniques and tools required for the analysis and solution of complex problems encountered in engineering practice.</t>
  </si>
  <si>
    <t>PÇ-4.2</t>
  </si>
  <si>
    <t>Ability to use information technologies effectively.</t>
  </si>
  <si>
    <t>PÇ-5.1</t>
  </si>
  <si>
    <t>Ability to design experiments for the investigation of complex engineering problems or discipline-specific research topics.</t>
  </si>
  <si>
    <t>PÇ-5.2</t>
  </si>
  <si>
    <t>Ability to conduct experiments for the investigation of complex engineering problems or discipline-specific research topics.</t>
  </si>
  <si>
    <t>PÇ-5.3</t>
  </si>
  <si>
    <t>Ability to collect data for the investigation of complex engineering problems or discipline-specific research topics.</t>
  </si>
  <si>
    <t>PÇ-5.4</t>
  </si>
  <si>
    <t>Ability to analyze and interpret experimental results for the investigation of complex engineering problems or discipline-specific research topics.</t>
  </si>
  <si>
    <t>PÇ-6.1</t>
  </si>
  <si>
    <t>Ability to work individually within the discipline.</t>
  </si>
  <si>
    <t>PÇ-6.2</t>
  </si>
  <si>
    <t>Ability to work effectively in disciplinary teams.</t>
  </si>
  <si>
    <t>PÇ-6.3</t>
  </si>
  <si>
    <t>Ability to work effectively in multidisciplinary teams.</t>
  </si>
  <si>
    <t>PÇ-7.1</t>
  </si>
  <si>
    <t>Ability to communicate effectively in oral and written form and to make presentations.</t>
  </si>
  <si>
    <t>PÇ-7.2</t>
  </si>
  <si>
    <t>Knowledge of at least one foreign language.</t>
  </si>
  <si>
    <t>PÇ-7.3</t>
  </si>
  <si>
    <t>Ability to write effective reports and understand written reports.</t>
  </si>
  <si>
    <t>PÇ-7.4</t>
  </si>
  <si>
    <t>Ability to prepare design and production reports.</t>
  </si>
  <si>
    <t>PÇ-7.5</t>
  </si>
  <si>
    <t>Ability to give and receive clear and understandable instructions.</t>
  </si>
  <si>
    <t>PÇ-8.1</t>
  </si>
  <si>
    <t>Awareness of the necessity of lifelong learning.</t>
  </si>
  <si>
    <t>PÇ-8.2</t>
  </si>
  <si>
    <t>Ability to access information, follow developments in science and technology, and continuously renew oneself.</t>
  </si>
  <si>
    <t>PÇ-9.1</t>
  </si>
  <si>
    <t>Awareness of professional and ethical responsibility and the ability to act in accordance with ethical principles.</t>
  </si>
  <si>
    <t>PÇ-9.2</t>
  </si>
  <si>
    <t>Knowledge of standards used in engineering practice.</t>
  </si>
  <si>
    <t>PÇ-10.1</t>
  </si>
  <si>
    <t>Knowledge of practices in professional life such as project management, risk management, and change management.</t>
  </si>
  <si>
    <t>PÇ-10.2</t>
  </si>
  <si>
    <t>Awareness of entrepreneurship and innovation.</t>
  </si>
  <si>
    <t>PÇ-10.3</t>
  </si>
  <si>
    <t>Knowledge of sustainable development.</t>
  </si>
  <si>
    <t>PÇ-11.1</t>
  </si>
  <si>
    <t>Knowledge of the impacts of engineering practices on health, the environment, and safety at universal and societal scales, and of contemporary issues reflected in the engineering profession.</t>
  </si>
  <si>
    <t>PÇ-11.2</t>
  </si>
  <si>
    <t>Awareness of the legal consequences of engineering solutions.</t>
  </si>
  <si>
    <t xml:space="preserve">THINK YOU DON'T NEED A CLARIFIER? </t>
  </si>
  <si>
    <t>Activity topic</t>
  </si>
  <si>
    <t>Biomass retention in activated sludge systems with and without secondary clarification</t>
  </si>
  <si>
    <t>Activity ID</t>
  </si>
  <si>
    <t>PR-001</t>
  </si>
  <si>
    <t>Activity version</t>
  </si>
  <si>
    <t>1.0</t>
  </si>
  <si>
    <t>Publication date</t>
  </si>
  <si>
    <t>12 August 2026</t>
  </si>
  <si>
    <t>Procera version</t>
  </si>
  <si>
    <t>at least 1.0.0</t>
  </si>
  <si>
    <t>Reference activity</t>
  </si>
  <si>
    <t>None</t>
  </si>
  <si>
    <t>Reference video</t>
  </si>
  <si>
    <t>Contributor</t>
  </si>
  <si>
    <t>name</t>
  </si>
  <si>
    <t>Selami Demir</t>
  </si>
  <si>
    <t>email</t>
  </si>
  <si>
    <t>seldemir@yildiz.edu.tr</t>
  </si>
  <si>
    <t>institution</t>
  </si>
  <si>
    <t>Yıldız Technical University</t>
  </si>
  <si>
    <t>department</t>
  </si>
  <si>
    <t>Department of Environmental Engineering</t>
  </si>
  <si>
    <t>Purpose and Scope</t>
  </si>
  <si>
    <t>This activity demonstrates why biomass cannot be retained in a continuous-flow aerated reactor when suspended solids leave directly with the effluent, and how secondary clarification with return activated sludge enables biomass retention. Students work with two prescribed Procera topologies and explain the observed biomass behavior in each case.</t>
  </si>
  <si>
    <t>Target students</t>
  </si>
  <si>
    <t>Undergraduate, beginner level</t>
  </si>
  <si>
    <t>Timing</t>
  </si>
  <si>
    <t>After the fundamental activated sludge process is introduced or before the concepts of secondary clarification, RAS and SRT</t>
  </si>
  <si>
    <t>Mode of use</t>
  </si>
  <si>
    <t>In-class activity or homework</t>
  </si>
  <si>
    <t>Guidance level</t>
  </si>
  <si>
    <t>Guided</t>
  </si>
  <si>
    <t>ETC</t>
  </si>
  <si>
    <t>Highest Bloom</t>
  </si>
  <si>
    <t xml:space="preserve">Both questions require students to explain biomass behavior using the relationship between solids discharge, secondary clarification, return activated sludge, and biomass retention. </t>
  </si>
  <si>
    <t>Prerequisites</t>
  </si>
  <si>
    <t xml:space="preserve">Basic concepts: activated sludge treatment, heterotrophic biomass growth and decay, and continuous-flow completely mixed reactors.
Basic Procera skills: creating a project from a template, drawing a topology, defining influent and reactor data, running Project Check, performing a dynamic simulation, and opening dynamic charts/results.
</t>
  </si>
  <si>
    <t>Activity Learning Outcomes (ALOs)</t>
  </si>
  <si>
    <t>The student will be able to explain why activated-sludge biomass cannot be retained in a continuous-flow aerated reactor without solids separation and how secondary sedimentation with return activated sludge enables biomass retention.</t>
  </si>
  <si>
    <t>Program Outcomes (POs) and Bloom Mapping</t>
  </si>
  <si>
    <t>Question ID</t>
  </si>
  <si>
    <t>ALOs</t>
  </si>
  <si>
    <t>ABET POs</t>
  </si>
  <si>
    <t>EUR-ACE POs</t>
  </si>
  <si>
    <t>MÜDEK POs</t>
  </si>
  <si>
    <t>Bloom level</t>
  </si>
  <si>
    <t>Recommended Implementation (In-Class)</t>
  </si>
  <si>
    <t>Preparation</t>
  </si>
  <si>
    <t>Teach the conventional activated sludge flow scheme and return activated sludge</t>
  </si>
  <si>
    <t>Opening</t>
  </si>
  <si>
    <t>Begin with the question: “If the reactor is aerated continuously and receives biodegradable substrate, can the biomass remain in the system without a clarifier?” Ask students to record a prediction before running Procera.</t>
  </si>
  <si>
    <t>Guidance</t>
  </si>
  <si>
    <t>Use the companion video if available. For Q1, build the prescribed topology, define the given influent and reactor data, run the dynamic simulation, and observe the biomass behavior. For Q2, use the prescribed topology, run the simulation, and observe how biomass is retained.</t>
  </si>
  <si>
    <t>Discussion</t>
  </si>
  <si>
    <t>Discuss why biomass decreases in the first topology even with continuous aeration and substrate supply, and how the secondary clarifier and return activated sludge loop change biomass retention in the second topology.</t>
  </si>
  <si>
    <t>Recommended Implementation (Homework)</t>
  </si>
  <si>
    <t>Upload the Activity Information file, Assignment workbook, required Procera assets, and any optional reference video link. Verify that students have the required Procera version and prerequisite knowledge before release.</t>
  </si>
  <si>
    <t>Assignment Release</t>
  </si>
  <si>
    <t>Provide the Assignment sheet and required assets. State the deadline, allowed collaboration, expected Procera workflow, and required outputs/files. Keep instructor guidance consistent with the activity's declared guidance level.</t>
  </si>
  <si>
    <t>Support and Resources</t>
  </si>
  <si>
    <t>Provide the reference video, relevant manual sections, or instructor support identified for the activity. Clarify software-operation questions when needed, but avoid supplying the conceptual answer or solution path beyond the declared guidance level.</t>
  </si>
  <si>
    <t>Submission</t>
  </si>
  <si>
    <t>Students submit their answers together with the Procera outputs/files explicitly requested in the Assignment (for example PDF/XLSX exports, figures, or a PCM file when required). The adopting instructor defines the LMS, file-naming convention, and deadline.</t>
  </si>
  <si>
    <t>Evaluation &amp; Feedback</t>
  </si>
  <si>
    <t>Evaluate each question using its ALO, program-outcome, and Bloom mapping together with an instructor-defined rubric. Award credit for technically correct reasoning and appropriate use or interpretation of Procera results, and provide feedback linked to the mapped ALO(s).</t>
  </si>
  <si>
    <t>ALO</t>
  </si>
  <si>
    <t>Question</t>
  </si>
  <si>
    <t>Using the prescribed topology and operating conditions below, run the dynamic simulation. The reactor receives biodegradable substrate and is continuously aerated, yet the heterotrophic biomass concentration decreases with time. Explain why the biomass decreases and why continuous aeration and substrate supply alone cannot maintain biomass in the system.</t>
  </si>
  <si>
    <t>Model template</t>
  </si>
  <si>
    <t>Topology figure</t>
  </si>
  <si>
    <t>Instructions</t>
  </si>
  <si>
    <t>10 minutes</t>
  </si>
  <si>
    <t>Topology and Procera Setup</t>
  </si>
  <si>
    <t>Characterizat'n</t>
  </si>
  <si>
    <t>Influent</t>
  </si>
  <si>
    <r>
      <t>100 m</t>
    </r>
    <r>
      <rPr>
        <vertAlign val="superscript"/>
        <sz val="11"/>
        <color theme="1"/>
        <rFont val="Aptos Narrow"/>
        <family val="2"/>
      </rPr>
      <t>3</t>
    </r>
    <r>
      <rPr>
        <sz val="11"/>
        <color theme="1"/>
        <rFont val="Aptos Narrow"/>
        <family val="2"/>
      </rPr>
      <t>/h</t>
    </r>
  </si>
  <si>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250 mg/L; X</t>
    </r>
    <r>
      <rPr>
        <vertAlign val="subscript"/>
        <sz val="11"/>
        <color theme="1"/>
        <rFont val="Aptos Narrow"/>
        <family val="2"/>
      </rPr>
      <t>H</t>
    </r>
    <r>
      <rPr>
        <sz val="11"/>
        <color theme="1"/>
        <rFont val="Aptos Narrow"/>
        <family val="2"/>
      </rPr>
      <t xml:space="preserve"> = 0 mg/L</t>
    </r>
  </si>
  <si>
    <t>Pattern</t>
  </si>
  <si>
    <t>Flow</t>
  </si>
  <si>
    <t>Default Multiplicative</t>
  </si>
  <si>
    <t>Area</t>
  </si>
  <si>
    <t>Depth</t>
  </si>
  <si>
    <t>Initials</t>
  </si>
  <si>
    <r>
      <t>S</t>
    </r>
    <r>
      <rPr>
        <vertAlign val="subscript"/>
        <sz val="11"/>
        <color theme="1"/>
        <rFont val="Aptos Narrow"/>
        <family val="2"/>
      </rPr>
      <t>O</t>
    </r>
    <r>
      <rPr>
        <sz val="11"/>
        <color theme="1"/>
        <rFont val="Aptos Narrow"/>
        <family val="2"/>
      </rPr>
      <t xml:space="preserve"> = 0 mg/L, S</t>
    </r>
    <r>
      <rPr>
        <vertAlign val="subscript"/>
        <sz val="11"/>
        <color theme="1"/>
        <rFont val="Aptos Narrow"/>
        <family val="2"/>
      </rPr>
      <t>S</t>
    </r>
    <r>
      <rPr>
        <sz val="11"/>
        <color theme="1"/>
        <rFont val="Aptos Narrow"/>
        <family val="2"/>
      </rPr>
      <t xml:space="preserve"> = 5 mg/L; X</t>
    </r>
    <r>
      <rPr>
        <vertAlign val="subscript"/>
        <sz val="11"/>
        <color theme="1"/>
        <rFont val="Aptos Narrow"/>
        <family val="2"/>
      </rPr>
      <t>H</t>
    </r>
    <r>
      <rPr>
        <sz val="11"/>
        <color theme="1"/>
        <rFont val="Aptos Narrow"/>
        <family val="2"/>
      </rPr>
      <t xml:space="preserve"> = 1000 mg/L</t>
    </r>
  </si>
  <si>
    <r>
      <t>120 m</t>
    </r>
    <r>
      <rPr>
        <vertAlign val="superscript"/>
        <sz val="11"/>
        <color theme="1"/>
        <rFont val="Aptos Narrow"/>
        <family val="2"/>
      </rPr>
      <t>2</t>
    </r>
  </si>
  <si>
    <t>5 m</t>
  </si>
  <si>
    <t>Aeration</t>
  </si>
  <si>
    <t>Constant DO @ 2 mg/L</t>
  </si>
  <si>
    <t>Reactor</t>
  </si>
  <si>
    <t>Simulat'n settings</t>
  </si>
  <si>
    <t>Insert Procera topology screenshot here</t>
  </si>
  <si>
    <t>Requir'd submiss'n</t>
  </si>
  <si>
    <r>
      <rPr>
        <b/>
        <sz val="11"/>
        <color theme="1"/>
        <rFont val="Aptos Narrow"/>
        <family val="2"/>
      </rPr>
      <t>1.</t>
    </r>
    <r>
      <rPr>
        <sz val="11"/>
        <color theme="1"/>
        <rFont val="Aptos Narrow"/>
        <family val="2"/>
      </rPr>
      <t xml:space="preserve"> Complete written answer to Q1.
</t>
    </r>
    <r>
      <rPr>
        <b/>
        <sz val="11"/>
        <color theme="1"/>
        <rFont val="Aptos Narrow"/>
        <family val="2"/>
      </rPr>
      <t>2.</t>
    </r>
    <r>
      <rPr>
        <sz val="11"/>
        <color theme="1"/>
        <rFont val="Aptos Narrow"/>
        <family val="2"/>
      </rPr>
      <t xml:space="preserve"> Procera project file (PCM), named Q1.pcm</t>
    </r>
  </si>
  <si>
    <t>Using the prescribed topology and operating conditions below, run the dynamic simulation. Compare the biomass behavior with that observed in Q1. Explain how the secondary clarifier and return activated sludge (RAS) flow prevent biomass washout and allow heterotrophic biomass to be retained in the system.</t>
  </si>
  <si>
    <t>Introductory S-X Model.pct</t>
  </si>
  <si>
    <r>
      <t>100 m</t>
    </r>
    <r>
      <rPr>
        <vertAlign val="superscript"/>
        <sz val="11"/>
        <color theme="1"/>
        <rFont val="Aptos Narrow"/>
        <family val="2"/>
      </rPr>
      <t>2</t>
    </r>
  </si>
  <si>
    <t>Inlet layer</t>
  </si>
  <si>
    <t>Clarifier</t>
  </si>
  <si>
    <t>Dynamic simulation; duration 4 months at 240 sec time-steps</t>
  </si>
  <si>
    <r>
      <rPr>
        <b/>
        <sz val="11"/>
        <color theme="1"/>
        <rFont val="Aptos Narrow"/>
        <family val="2"/>
      </rPr>
      <t>1.</t>
    </r>
    <r>
      <rPr>
        <sz val="11"/>
        <color theme="1"/>
        <rFont val="Aptos Narrow"/>
        <family val="2"/>
      </rPr>
      <t xml:space="preserve"> Create a new Procera project using the specified model template.
</t>
    </r>
    <r>
      <rPr>
        <b/>
        <sz val="11"/>
        <color theme="1"/>
        <rFont val="Aptos Narrow"/>
        <family val="2"/>
      </rPr>
      <t xml:space="preserve">2. </t>
    </r>
    <r>
      <rPr>
        <sz val="11"/>
        <color theme="1"/>
        <rFont val="Aptos Narrow"/>
        <family val="2"/>
      </rPr>
      <t xml:space="preserve">Build the prescribed topology shown in the topology figure.
</t>
    </r>
    <r>
      <rPr>
        <b/>
        <sz val="11"/>
        <color theme="1"/>
        <rFont val="Aptos Narrow"/>
        <family val="2"/>
      </rPr>
      <t>3.</t>
    </r>
    <r>
      <rPr>
        <sz val="11"/>
        <color theme="1"/>
        <rFont val="Aptos Narrow"/>
        <family val="2"/>
      </rPr>
      <t xml:space="preserve"> Define the influent characterization and flow rate given above.
</t>
    </r>
    <r>
      <rPr>
        <b/>
        <sz val="11"/>
        <color theme="1"/>
        <rFont val="Aptos Narrow"/>
        <family val="2"/>
      </rPr>
      <t xml:space="preserve">4. </t>
    </r>
    <r>
      <rPr>
        <sz val="11"/>
        <color theme="1"/>
        <rFont val="Aptos Narrow"/>
        <family val="2"/>
      </rPr>
      <t xml:space="preserve">Define the reactor initial characterization and reactor settings.
</t>
    </r>
    <r>
      <rPr>
        <b/>
        <sz val="11"/>
        <color theme="1"/>
        <rFont val="Aptos Narrow"/>
        <family val="2"/>
      </rPr>
      <t xml:space="preserve">5. </t>
    </r>
    <r>
      <rPr>
        <sz val="11"/>
        <color theme="1"/>
        <rFont val="Aptos Narrow"/>
        <family val="2"/>
      </rPr>
      <t xml:space="preserve">Run Project Check and correct any setup errors.
</t>
    </r>
    <r>
      <rPr>
        <b/>
        <sz val="11"/>
        <color theme="1"/>
        <rFont val="Aptos Narrow"/>
        <family val="2"/>
      </rPr>
      <t xml:space="preserve">6. </t>
    </r>
    <r>
      <rPr>
        <sz val="11"/>
        <color theme="1"/>
        <rFont val="Aptos Narrow"/>
        <family val="2"/>
      </rPr>
      <t xml:space="preserve">Run the 4-month dynamic simulation.
</t>
    </r>
    <r>
      <rPr>
        <b/>
        <sz val="11"/>
        <color theme="1"/>
        <rFont val="Aptos Narrow"/>
        <family val="2"/>
      </rPr>
      <t xml:space="preserve">7. </t>
    </r>
    <r>
      <rPr>
        <sz val="11"/>
        <color theme="1"/>
        <rFont val="Aptos Narrow"/>
        <family val="2"/>
      </rPr>
      <t>Inspect the time-dependent heterotrophic biomass (X</t>
    </r>
    <r>
      <rPr>
        <vertAlign val="subscript"/>
        <sz val="11"/>
        <color theme="1"/>
        <rFont val="Aptos Narrow"/>
        <family val="2"/>
      </rPr>
      <t>H</t>
    </r>
    <r>
      <rPr>
        <sz val="11"/>
        <color theme="1"/>
        <rFont val="Aptos Narrow"/>
        <family val="2"/>
      </rPr>
      <t xml:space="preserve">) and TSS behavior.
</t>
    </r>
    <r>
      <rPr>
        <b/>
        <sz val="11"/>
        <color theme="1"/>
        <rFont val="Aptos Narrow"/>
        <family val="2"/>
      </rPr>
      <t xml:space="preserve">8. </t>
    </r>
    <r>
      <rPr>
        <sz val="11"/>
        <color theme="1"/>
        <rFont val="Aptos Narrow"/>
        <family val="2"/>
      </rPr>
      <t>Answer the question using the simulated behavior and the concept of solids retention.</t>
    </r>
  </si>
  <si>
    <r>
      <rPr>
        <b/>
        <sz val="11"/>
        <color theme="1"/>
        <rFont val="Aptos Narrow"/>
        <family val="2"/>
      </rPr>
      <t xml:space="preserve">1. </t>
    </r>
    <r>
      <rPr>
        <sz val="11"/>
        <color theme="1"/>
        <rFont val="Aptos Narrow"/>
        <family val="2"/>
      </rPr>
      <t xml:space="preserve">Create a new Procera project using the specified model template.
</t>
    </r>
    <r>
      <rPr>
        <b/>
        <sz val="11"/>
        <color theme="1"/>
        <rFont val="Aptos Narrow"/>
        <family val="2"/>
      </rPr>
      <t xml:space="preserve">2. </t>
    </r>
    <r>
      <rPr>
        <sz val="11"/>
        <color theme="1"/>
        <rFont val="Aptos Narrow"/>
        <family val="2"/>
      </rPr>
      <t xml:space="preserve">Build the prescribed topology shown in the topology figure, including the secondary clarifier and RAS link.
</t>
    </r>
    <r>
      <rPr>
        <b/>
        <sz val="11"/>
        <color theme="1"/>
        <rFont val="Aptos Narrow"/>
        <family val="2"/>
      </rPr>
      <t>3.</t>
    </r>
    <r>
      <rPr>
        <sz val="11"/>
        <color theme="1"/>
        <rFont val="Aptos Narrow"/>
        <family val="2"/>
      </rPr>
      <t xml:space="preserve"> Use the same influent flow, influent characterization, pattern, reactor dimensions, aeration setting, and reactor initial conditions as in Q1.
</t>
    </r>
    <r>
      <rPr>
        <b/>
        <sz val="11"/>
        <color theme="1"/>
        <rFont val="Aptos Narrow"/>
        <family val="2"/>
      </rPr>
      <t>4.</t>
    </r>
    <r>
      <rPr>
        <sz val="11"/>
        <color theme="1"/>
        <rFont val="Aptos Narrow"/>
        <family val="2"/>
      </rPr>
      <t xml:space="preserve"> Define the secondary clarifier using the settings given above.
</t>
    </r>
    <r>
      <rPr>
        <b/>
        <sz val="11"/>
        <color theme="1"/>
        <rFont val="Aptos Narrow"/>
        <family val="2"/>
      </rPr>
      <t>5.</t>
    </r>
    <r>
      <rPr>
        <sz val="11"/>
        <color theme="1"/>
        <rFont val="Aptos Narrow"/>
        <family val="2"/>
      </rPr>
      <t xml:space="preserve"> Set the RAS flow to 50 m³/h and return the clarifier underflow to the aerated reactor.
</t>
    </r>
    <r>
      <rPr>
        <b/>
        <sz val="11"/>
        <color theme="1"/>
        <rFont val="Aptos Narrow"/>
        <family val="2"/>
      </rPr>
      <t>6.</t>
    </r>
    <r>
      <rPr>
        <sz val="11"/>
        <color theme="1"/>
        <rFont val="Aptos Narrow"/>
        <family val="2"/>
      </rPr>
      <t xml:space="preserve"> Run Project Check and correct any setup errors.
</t>
    </r>
    <r>
      <rPr>
        <b/>
        <sz val="11"/>
        <color theme="1"/>
        <rFont val="Aptos Narrow"/>
        <family val="2"/>
      </rPr>
      <t>7.</t>
    </r>
    <r>
      <rPr>
        <sz val="11"/>
        <color theme="1"/>
        <rFont val="Aptos Narrow"/>
        <family val="2"/>
      </rPr>
      <t xml:space="preserve"> Run the 4-month dynamic simulation using a 240 s time step.
</t>
    </r>
    <r>
      <rPr>
        <b/>
        <sz val="11"/>
        <color theme="1"/>
        <rFont val="Aptos Narrow"/>
        <family val="2"/>
      </rPr>
      <t>8.</t>
    </r>
    <r>
      <rPr>
        <sz val="11"/>
        <color theme="1"/>
        <rFont val="Aptos Narrow"/>
        <family val="2"/>
      </rPr>
      <t xml:space="preserve"> Inspect the time-dependent heterotrophic biomass (X</t>
    </r>
    <r>
      <rPr>
        <vertAlign val="subscript"/>
        <sz val="11"/>
        <color theme="1"/>
        <rFont val="Aptos Narrow"/>
        <family val="2"/>
      </rPr>
      <t>H</t>
    </r>
    <r>
      <rPr>
        <sz val="11"/>
        <color theme="1"/>
        <rFont val="Aptos Narrow"/>
        <family val="2"/>
      </rPr>
      <t xml:space="preserve">) and TSS behavior.
</t>
    </r>
    <r>
      <rPr>
        <b/>
        <sz val="11"/>
        <color theme="1"/>
        <rFont val="Aptos Narrow"/>
        <family val="2"/>
      </rPr>
      <t>9.</t>
    </r>
    <r>
      <rPr>
        <sz val="11"/>
        <color theme="1"/>
        <rFont val="Aptos Narrow"/>
        <family val="2"/>
      </rPr>
      <t xml:space="preserve"> Compare the biomass behavior with Q1 and explain how secondary clarification and sludge return allow biomass to remain in the system.</t>
    </r>
  </si>
  <si>
    <r>
      <rPr>
        <b/>
        <sz val="11"/>
        <color theme="1"/>
        <rFont val="Aptos Narrow"/>
        <family val="2"/>
      </rPr>
      <t>1.</t>
    </r>
    <r>
      <rPr>
        <sz val="11"/>
        <color theme="1"/>
        <rFont val="Aptos Narrow"/>
        <family val="2"/>
      </rPr>
      <t xml:space="preserve"> Complete written answer to Q2.
</t>
    </r>
    <r>
      <rPr>
        <b/>
        <sz val="11"/>
        <color theme="1"/>
        <rFont val="Aptos Narrow"/>
        <family val="2"/>
      </rPr>
      <t>2.</t>
    </r>
    <r>
      <rPr>
        <sz val="11"/>
        <color theme="1"/>
        <rFont val="Aptos Narrow"/>
        <family val="2"/>
      </rPr>
      <t xml:space="preserve"> Procera project file (PCM), named Q2.pcm</t>
    </r>
  </si>
  <si>
    <t>RAS flow</t>
  </si>
  <si>
    <r>
      <t>50 m</t>
    </r>
    <r>
      <rPr>
        <vertAlign val="subscript"/>
        <sz val="11"/>
        <color theme="1"/>
        <rFont val="Aptos Narrow"/>
        <family val="2"/>
      </rPr>
      <t>3</t>
    </r>
    <r>
      <rPr>
        <sz val="11"/>
        <color theme="1"/>
        <rFont val="Aptos Narrow"/>
        <family val="2"/>
      </rPr>
      <t>/h</t>
    </r>
  </si>
  <si>
    <t>4 m</t>
  </si>
  <si>
    <t>level</t>
  </si>
  <si>
    <t>justification</t>
  </si>
  <si>
    <t>Approximately 20 minutes, excluding any instructor-led discussion</t>
  </si>
  <si>
    <t>https://youtu.be/mEHhqHnc-2A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</si>
</sst>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ont>
    <font>
      <b/>
      <sz val="11"/>
      <color theme="1"/>
      <name val="Aptos Narrow"/>
      <family val="2"/>
    </font>
    <font>
      <b/>
      <sz val="14"/>
      <color theme="1"/>
      <name val="Aptos Narrow"/>
      <family val="2"/>
    </font>
    <font>
      <sz val="11"/>
      <color theme="1"/>
      <name val="Aptos Narrow"/>
      <family val="2"/>
    </font>
    <font>
      <i/>
      <sz val="11"/>
      <color theme="1"/>
      <name val="Aptos Narrow"/>
      <family val="2"/>
    </font>
    <font>
      <b/>
      <sz val="14"/>
      <color theme="1"/>
      <name val="Aptos Narrow"/>
      <family val="2"/>
    </font>
    <font>
      <i/>
      <sz val="11"/>
      <color theme="1"/>
      <name val="Aptos Narrow"/>
      <family val="2"/>
    </font>
    <font>
      <vertAlign val="superscript"/>
      <sz val="11"/>
      <color theme="1"/>
      <name val="Aptos Narrow"/>
      <family val="2"/>
    </font>
    <font>
      <vertAlign val="subscript"/>
      <sz val="11"/>
      <color theme="1"/>
      <name val="Aptos Narrow"/>
      <family val="2"/>
    </font>
    <font>
      <u/>
      <sz val="11"/>
      <color theme="10"/>
      <name val="Aptos Narrow"/>
      <family val="2"/>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theme="0" tint="-0.14999847407452621"/>
        <bgColor indexed="65"/>
      </patternFill>
    </fill>
    <fill>
      <patternFill patternType="solid">
        <fgColor theme="0"/>
      </patternFill>
    </fill>
    <fill>
      <patternFill patternType="solid">
        <fgColor theme="0" tint="-4.9989318521683403E-2"/>
        <bgColor indexed="65"/>
      </patternFill>
    </fill>
    <fill>
      <patternFill patternType="solid">
        <fgColor rgb="FFFFFFFF"/>
      </patternFill>
    </fill>
    <fill>
      <patternFill patternType="solid">
        <fgColor rgb="FFF2F2F2"/>
      </patternFill>
    </fill>
    <fill>
      <patternFill patternType="solid">
        <fgColor rgb="FFD9EAF7"/>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dotted">
        <color theme="0" tint="-0.34998626667073579"/>
      </bottom>
      <diagonal/>
    </border>
    <border>
      <left style="thin">
        <color indexed="64"/>
      </left>
      <right style="thin">
        <color auto="1"/>
      </right>
      <top style="dotted">
        <color theme="0" tint="-0.34998626667073579"/>
      </top>
      <bottom style="dotted">
        <color theme="0" tint="-0.34998626667073579"/>
      </bottom>
      <diagonal/>
    </border>
    <border>
      <left style="thin">
        <color indexed="64"/>
      </left>
      <right style="thin">
        <color auto="1"/>
      </right>
      <top style="dotted">
        <color theme="0" tint="-0.34998626667073579"/>
      </top>
      <bottom style="thin">
        <color indexed="64"/>
      </bottom>
      <diagonal/>
    </border>
    <border>
      <left style="thin">
        <color indexed="64"/>
      </left>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indexed="64"/>
      </right>
      <top style="thin">
        <color indexed="64"/>
      </top>
      <bottom style="dotted">
        <color theme="0" tint="-0.34998626667073579"/>
      </bottom>
      <diagonal/>
    </border>
    <border>
      <left style="thin">
        <color indexed="64"/>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indexed="64"/>
      </right>
      <top style="dotted">
        <color theme="0" tint="-0.34998626667073579"/>
      </top>
      <bottom style="dotted">
        <color theme="0" tint="-0.34998626667073579"/>
      </bottom>
      <diagonal/>
    </border>
    <border>
      <left style="thin">
        <color indexed="64"/>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indexed="64"/>
      </right>
      <top style="dotted">
        <color theme="0" tint="-0.34998626667073579"/>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0" tint="-0.34998626667073579"/>
      </left>
      <right style="thin">
        <color indexed="64"/>
      </right>
      <top style="dotted">
        <color theme="0" tint="-0.34998626667073579"/>
      </top>
      <bottom style="dotted">
        <color theme="0" tint="-0.34998626667073579"/>
      </bottom>
      <diagonal/>
    </border>
    <border>
      <left style="thin">
        <color indexed="64"/>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thin">
        <color indexed="64"/>
      </right>
      <top style="dotted">
        <color theme="0" tint="-0.34998626667073579"/>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tted">
        <color theme="0" tint="-0.34998626667073579"/>
      </top>
      <bottom/>
      <diagonal/>
    </border>
    <border>
      <left/>
      <right/>
      <top style="dotted">
        <color theme="0" tint="-0.34998626667073579"/>
      </top>
      <bottom/>
      <diagonal/>
    </border>
    <border>
      <left/>
      <right style="thin">
        <color indexed="64"/>
      </right>
      <top style="dotted">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dotted">
        <color theme="0" tint="-0.34998626667073579"/>
      </bottom>
      <diagonal/>
    </border>
    <border>
      <left style="thin">
        <color indexed="64"/>
      </left>
      <right/>
      <top/>
      <bottom style="dotted">
        <color theme="0" tint="-0.34998626667073579"/>
      </bottom>
      <diagonal/>
    </border>
    <border>
      <left/>
      <right/>
      <top/>
      <bottom style="dotted">
        <color theme="0" tint="-0.34998626667073579"/>
      </bottom>
      <diagonal/>
    </border>
    <border>
      <left style="thin">
        <color indexed="64"/>
      </left>
      <right style="thin">
        <color indexed="64"/>
      </right>
      <top/>
      <bottom/>
      <diagonal/>
    </border>
    <border>
      <left style="thin">
        <color indexed="64"/>
      </left>
      <right style="thin">
        <color indexed="64"/>
      </right>
      <top/>
      <bottom style="dotted">
        <color theme="0" tint="-0.34998626667073579"/>
      </bottom>
      <diagonal/>
    </border>
    <border>
      <left style="thin">
        <color indexed="64"/>
      </left>
      <right style="thin">
        <color indexed="64"/>
      </right>
      <top style="dotted">
        <color theme="0" tint="-0.34998626667073579"/>
      </top>
      <bottom/>
      <diagonal/>
    </border>
  </borders>
  <cellStyleXfs count="2">
    <xf numFmtId="0" fontId="0" fillId="0" borderId="0"/>
    <xf numFmtId="0" fontId="9" fillId="0" borderId="0" applyNumberFormat="0" applyFill="0" applyBorder="0" applyAlignment="0" applyProtection="0"/>
  </cellStyleXfs>
  <cellXfs count="242">
    <xf numFmtId="0" fontId="0" fillId="0" borderId="0" xfId="0"/>
    <xf numFmtId="0" fontId="0" fillId="2" borderId="0" xfId="0" applyFill="1"/>
    <xf numFmtId="0" fontId="0" fillId="2" borderId="0" xfId="0" applyFill="1" applyAlignment="1">
      <alignment horizontal="center" vertical="top" wrapText="1"/>
    </xf>
    <xf numFmtId="0" fontId="0" fillId="0" borderId="0" xfId="0" applyAlignment="1">
      <alignment vertical="top" wrapText="1"/>
    </xf>
    <xf numFmtId="0" fontId="1" fillId="3" borderId="0" xfId="0" applyFont="1" applyFill="1" applyAlignment="1">
      <alignment vertical="top" wrapText="1"/>
    </xf>
    <xf numFmtId="0" fontId="1" fillId="3" borderId="29" xfId="0" applyFont="1" applyFill="1" applyBorder="1" applyAlignment="1">
      <alignment vertical="top" wrapText="1"/>
    </xf>
    <xf numFmtId="0" fontId="0" fillId="0" borderId="29" xfId="0" applyBorder="1" applyAlignment="1">
      <alignment vertical="top" wrapText="1"/>
    </xf>
    <xf numFmtId="0" fontId="1" fillId="3" borderId="36" xfId="0" applyFont="1" applyFill="1" applyBorder="1" applyAlignment="1">
      <alignment vertical="top" wrapText="1"/>
    </xf>
    <xf numFmtId="0" fontId="0" fillId="0" borderId="36" xfId="0" applyBorder="1" applyAlignment="1">
      <alignment vertical="top" wrapText="1"/>
    </xf>
    <xf numFmtId="0" fontId="1" fillId="9" borderId="0" xfId="0" applyFont="1" applyFill="1"/>
    <xf numFmtId="0" fontId="6" fillId="0" borderId="0" xfId="0" applyFont="1" applyAlignment="1">
      <alignment horizontal="center" vertical="center" wrapText="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38" xfId="0" applyFont="1" applyBorder="1" applyAlignment="1">
      <alignment vertical="top" wrapText="1"/>
    </xf>
    <xf numFmtId="0" fontId="0" fillId="0" borderId="0" xfId="0" applyProtection="1">
      <protection locked="0"/>
    </xf>
    <xf numFmtId="0" fontId="6" fillId="0" borderId="0" xfId="0" applyFont="1" applyAlignment="1" applyProtection="1">
      <alignment horizontal="center" vertical="center" wrapText="1"/>
      <protection locked="0"/>
    </xf>
    <xf numFmtId="0" fontId="3" fillId="0" borderId="0" xfId="0" applyFont="1" applyAlignment="1" applyProtection="1">
      <alignment horizontal="left" vertical="top" wrapText="1"/>
      <protection locked="0"/>
    </xf>
    <xf numFmtId="0" fontId="3" fillId="0" borderId="43" xfId="0" applyFont="1" applyBorder="1" applyAlignment="1" applyProtection="1">
      <alignment horizontal="left" vertical="top" wrapText="1"/>
      <protection locked="0"/>
    </xf>
    <xf numFmtId="0" fontId="3" fillId="0" borderId="41" xfId="0" applyFont="1" applyBorder="1" applyAlignment="1" applyProtection="1">
      <alignment horizontal="left" vertical="top" wrapText="1"/>
      <protection locked="0"/>
    </xf>
    <xf numFmtId="0" fontId="1" fillId="0" borderId="38" xfId="0" applyFont="1" applyBorder="1" applyAlignment="1" applyProtection="1">
      <alignment vertical="top" wrapText="1"/>
      <protection locked="0"/>
    </xf>
    <xf numFmtId="0" fontId="1" fillId="0" borderId="0" xfId="0" applyFont="1" applyAlignment="1" applyProtection="1">
      <alignment horizontal="left" vertical="top" wrapText="1"/>
      <protection locked="0"/>
    </xf>
    <xf numFmtId="0" fontId="5" fillId="0" borderId="0" xfId="0" applyFont="1" applyAlignment="1" applyProtection="1">
      <alignment horizontal="center" vertical="center" wrapText="1"/>
      <protection locked="0"/>
    </xf>
    <xf numFmtId="0" fontId="1" fillId="0" borderId="36" xfId="0" applyFont="1" applyBorder="1" applyAlignment="1" applyProtection="1">
      <alignment horizontal="left" vertical="top" wrapText="1"/>
      <protection locked="0"/>
    </xf>
    <xf numFmtId="0" fontId="3" fillId="0" borderId="36" xfId="0" applyFont="1" applyBorder="1" applyAlignment="1" applyProtection="1">
      <alignment horizontal="left" vertical="top" wrapText="1"/>
      <protection locked="0"/>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4" xfId="0" applyFont="1" applyBorder="1" applyAlignment="1" applyProtection="1">
      <alignment horizontal="left" vertical="center" wrapText="1"/>
      <protection locked="0"/>
    </xf>
    <xf numFmtId="0" fontId="1" fillId="0" borderId="34" xfId="0" applyFont="1" applyBorder="1" applyAlignment="1" applyProtection="1">
      <alignment vertical="top" wrapText="1"/>
      <protection locked="0"/>
    </xf>
    <xf numFmtId="0" fontId="1" fillId="0" borderId="35" xfId="0" applyFont="1" applyBorder="1" applyAlignment="1" applyProtection="1">
      <alignment vertical="top" wrapText="1"/>
      <protection locked="0"/>
    </xf>
    <xf numFmtId="0" fontId="1" fillId="0" borderId="43" xfId="0" applyFont="1" applyBorder="1" applyAlignment="1" applyProtection="1">
      <alignment vertical="top" wrapText="1"/>
      <protection locked="0"/>
    </xf>
    <xf numFmtId="0" fontId="1" fillId="0" borderId="41" xfId="0" applyFont="1" applyBorder="1" applyAlignment="1" applyProtection="1">
      <alignment vertical="top" wrapText="1"/>
      <protection locked="0"/>
    </xf>
    <xf numFmtId="0" fontId="1" fillId="0" borderId="46" xfId="0" applyFont="1" applyBorder="1" applyAlignment="1" applyProtection="1">
      <alignment horizontal="center" vertical="center" textRotation="90"/>
      <protection locked="0"/>
    </xf>
    <xf numFmtId="0" fontId="1" fillId="0" borderId="44" xfId="0" applyFont="1" applyBorder="1" applyAlignment="1" applyProtection="1">
      <alignment horizontal="center" vertical="center" textRotation="90"/>
      <protection locked="0"/>
    </xf>
    <xf numFmtId="0" fontId="1" fillId="0" borderId="45" xfId="0" applyFont="1" applyBorder="1" applyAlignment="1" applyProtection="1">
      <alignment horizontal="center" vertical="center" textRotation="90"/>
      <protection locked="0"/>
    </xf>
    <xf numFmtId="0" fontId="1" fillId="0" borderId="0" xfId="0" applyFont="1" applyAlignment="1" applyProtection="1">
      <alignment vertical="top" wrapText="1"/>
      <protection locked="0"/>
    </xf>
    <xf numFmtId="0" fontId="1" fillId="0" borderId="40" xfId="0" applyFont="1" applyBorder="1" applyAlignment="1" applyProtection="1">
      <alignment vertical="top" wrapText="1"/>
      <protection locked="0"/>
    </xf>
    <xf numFmtId="0" fontId="3" fillId="0" borderId="0" xfId="0" applyFont="1" applyAlignment="1" applyProtection="1">
      <alignment horizontal="left" vertical="top" wrapText="1"/>
      <protection locked="0"/>
    </xf>
    <xf numFmtId="0" fontId="3" fillId="0" borderId="40" xfId="0" applyFont="1" applyBorder="1" applyAlignment="1" applyProtection="1">
      <alignment horizontal="left" vertical="top" wrapText="1"/>
      <protection locked="0"/>
    </xf>
    <xf numFmtId="0" fontId="1" fillId="0" borderId="12" xfId="0" applyFont="1" applyBorder="1" applyAlignment="1" applyProtection="1">
      <alignment horizontal="left" vertical="top" wrapText="1"/>
      <protection locked="0"/>
    </xf>
    <xf numFmtId="0" fontId="1" fillId="0" borderId="13" xfId="0" applyFont="1" applyBorder="1" applyAlignment="1" applyProtection="1">
      <alignment horizontal="left" vertical="top" wrapText="1"/>
      <protection locked="0"/>
    </xf>
    <xf numFmtId="0" fontId="3" fillId="0" borderId="12" xfId="0" applyFont="1" applyBorder="1" applyAlignment="1" applyProtection="1">
      <alignment horizontal="justify" vertical="top" wrapText="1"/>
      <protection locked="0"/>
    </xf>
    <xf numFmtId="0" fontId="3" fillId="0" borderId="13" xfId="0" applyFont="1" applyBorder="1" applyAlignment="1" applyProtection="1">
      <alignment horizontal="justify" vertical="top" wrapText="1"/>
      <protection locked="0"/>
    </xf>
    <xf numFmtId="0" fontId="6" fillId="10" borderId="14" xfId="0" applyFont="1" applyFill="1" applyBorder="1" applyAlignment="1" applyProtection="1">
      <alignment horizontal="center" vertical="center" wrapText="1"/>
      <protection locked="0"/>
    </xf>
    <xf numFmtId="0" fontId="6" fillId="10" borderId="15" xfId="0" applyFont="1" applyFill="1" applyBorder="1" applyAlignment="1" applyProtection="1">
      <alignment horizontal="center" vertical="center" wrapText="1"/>
      <protection locked="0"/>
    </xf>
    <xf numFmtId="0" fontId="6" fillId="10" borderId="16" xfId="0" applyFont="1" applyFill="1" applyBorder="1" applyAlignment="1" applyProtection="1">
      <alignment horizontal="center" vertical="center" wrapText="1"/>
      <protection locked="0"/>
    </xf>
    <xf numFmtId="0" fontId="1" fillId="0" borderId="46" xfId="0" applyFont="1" applyBorder="1" applyAlignment="1" applyProtection="1">
      <alignment horizontal="center" vertical="center" textRotation="90" wrapText="1"/>
      <protection locked="0"/>
    </xf>
    <xf numFmtId="0" fontId="1" fillId="0" borderId="44" xfId="0" applyFont="1" applyBorder="1" applyAlignment="1" applyProtection="1">
      <alignment horizontal="center" vertical="center" textRotation="90" wrapText="1"/>
      <protection locked="0"/>
    </xf>
    <xf numFmtId="0" fontId="1" fillId="0" borderId="45" xfId="0" applyFont="1" applyBorder="1" applyAlignment="1" applyProtection="1">
      <alignment horizontal="center" vertical="center" textRotation="90" wrapText="1"/>
      <protection locked="0"/>
    </xf>
    <xf numFmtId="0" fontId="3" fillId="0" borderId="12" xfId="0" applyFont="1" applyBorder="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3" fillId="0" borderId="11" xfId="0" applyFont="1" applyBorder="1" applyAlignment="1" applyProtection="1">
      <alignment horizontal="justify" vertical="top" wrapText="1"/>
      <protection locked="0"/>
    </xf>
    <xf numFmtId="0" fontId="1" fillId="0" borderId="11" xfId="0" applyFont="1" applyBorder="1" applyAlignment="1" applyProtection="1">
      <alignment horizontal="left" vertical="top" wrapText="1"/>
      <protection locked="0"/>
    </xf>
    <xf numFmtId="0" fontId="3" fillId="0" borderId="34"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3" fillId="0" borderId="43" xfId="0" applyFont="1" applyBorder="1" applyAlignment="1" applyProtection="1">
      <alignment horizontal="justify" vertical="top" wrapText="1"/>
      <protection locked="0"/>
    </xf>
    <xf numFmtId="0" fontId="3" fillId="0" borderId="41" xfId="0" applyFont="1" applyBorder="1" applyAlignment="1" applyProtection="1">
      <alignment horizontal="justify" vertical="top" wrapText="1"/>
      <protection locked="0"/>
    </xf>
    <xf numFmtId="0" fontId="3" fillId="0" borderId="43" xfId="0" applyFont="1" applyBorder="1" applyAlignment="1" applyProtection="1">
      <alignment horizontal="left" vertical="top" wrapText="1"/>
      <protection locked="0"/>
    </xf>
    <xf numFmtId="0" fontId="3" fillId="0" borderId="41" xfId="0" applyFont="1" applyBorder="1" applyAlignment="1" applyProtection="1">
      <alignment horizontal="left" vertical="top" wrapText="1"/>
      <protection locked="0"/>
    </xf>
    <xf numFmtId="0" fontId="1" fillId="0" borderId="14"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0" fontId="1" fillId="0" borderId="16" xfId="0" applyFont="1" applyBorder="1" applyAlignment="1" applyProtection="1">
      <alignment horizontal="left" vertical="center" wrapText="1"/>
      <protection locked="0"/>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1" fillId="0" borderId="11"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36" xfId="0" applyFont="1" applyBorder="1" applyAlignment="1" applyProtection="1">
      <alignment horizontal="justify" vertical="top" wrapText="1"/>
      <protection locked="0"/>
    </xf>
    <xf numFmtId="0" fontId="1" fillId="0" borderId="14" xfId="0" applyFont="1" applyBorder="1" applyAlignment="1" applyProtection="1">
      <alignment horizontal="left" vertical="top" wrapText="1"/>
      <protection locked="0"/>
    </xf>
    <xf numFmtId="0" fontId="1" fillId="0" borderId="15"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6" fillId="0" borderId="0" xfId="0" applyFont="1" applyAlignment="1" applyProtection="1">
      <alignment horizontal="center" vertical="center" wrapText="1"/>
      <protection locked="0"/>
    </xf>
    <xf numFmtId="0" fontId="1" fillId="0" borderId="8" xfId="0" applyFont="1" applyBorder="1" applyAlignment="1" applyProtection="1">
      <alignment horizontal="left" vertical="center" wrapText="1"/>
      <protection locked="0"/>
    </xf>
    <xf numFmtId="0" fontId="1" fillId="0" borderId="9"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 fillId="0" borderId="10" xfId="0" applyFont="1" applyBorder="1" applyAlignment="1" applyProtection="1">
      <alignment horizontal="left" vertical="center" wrapText="1"/>
      <protection locked="0"/>
    </xf>
    <xf numFmtId="0" fontId="1" fillId="0" borderId="37" xfId="0" applyFont="1" applyBorder="1" applyAlignment="1" applyProtection="1">
      <alignment horizontal="left" vertical="top" wrapText="1"/>
      <protection locked="0"/>
    </xf>
    <xf numFmtId="0" fontId="1" fillId="0" borderId="38" xfId="0" applyFont="1" applyBorder="1" applyAlignment="1" applyProtection="1">
      <alignment horizontal="left" vertical="top" wrapText="1"/>
      <protection locked="0"/>
    </xf>
    <xf numFmtId="0" fontId="1" fillId="0" borderId="39" xfId="0" applyFont="1" applyBorder="1" applyAlignment="1" applyProtection="1">
      <alignment horizontal="left" vertical="top" wrapText="1"/>
      <protection locked="0"/>
    </xf>
    <xf numFmtId="0" fontId="3" fillId="0" borderId="38" xfId="0" applyFont="1" applyBorder="1" applyAlignment="1" applyProtection="1">
      <alignment horizontal="left" vertical="top" wrapText="1"/>
      <protection locked="0"/>
    </xf>
    <xf numFmtId="0" fontId="3" fillId="0" borderId="39" xfId="0" applyFont="1" applyBorder="1" applyAlignment="1" applyProtection="1">
      <alignment horizontal="left" vertical="top" wrapText="1"/>
      <protection locked="0"/>
    </xf>
    <xf numFmtId="0" fontId="0" fillId="6" borderId="11" xfId="0" applyFill="1" applyBorder="1" applyAlignment="1">
      <alignment horizontal="justify" vertical="top" wrapText="1"/>
    </xf>
    <xf numFmtId="0" fontId="0" fillId="6" borderId="12" xfId="0" applyFill="1" applyBorder="1" applyAlignment="1">
      <alignment horizontal="justify" vertical="top" wrapText="1"/>
    </xf>
    <xf numFmtId="0" fontId="0" fillId="6" borderId="13" xfId="0" applyFill="1" applyBorder="1" applyAlignment="1">
      <alignment horizontal="justify" vertical="top" wrapText="1"/>
    </xf>
    <xf numFmtId="0" fontId="0" fillId="5" borderId="11" xfId="0" applyFill="1" applyBorder="1" applyAlignment="1">
      <alignment horizontal="justify" vertical="top" wrapText="1"/>
    </xf>
    <xf numFmtId="0" fontId="0" fillId="5" borderId="12" xfId="0" applyFill="1" applyBorder="1" applyAlignment="1">
      <alignment horizontal="justify" vertical="top" wrapText="1"/>
    </xf>
    <xf numFmtId="0" fontId="0" fillId="5" borderId="13" xfId="0" applyFill="1" applyBorder="1" applyAlignment="1">
      <alignment horizontal="justify" vertical="top" wrapText="1"/>
    </xf>
    <xf numFmtId="0" fontId="0" fillId="5" borderId="14" xfId="0" applyFill="1" applyBorder="1" applyAlignment="1">
      <alignment horizontal="justify" vertical="top" wrapText="1"/>
    </xf>
    <xf numFmtId="0" fontId="0" fillId="5" borderId="15" xfId="0" applyFill="1" applyBorder="1" applyAlignment="1">
      <alignment horizontal="justify" vertical="top" wrapText="1"/>
    </xf>
    <xf numFmtId="0" fontId="0" fillId="5" borderId="16" xfId="0" applyFill="1" applyBorder="1" applyAlignment="1">
      <alignment horizontal="justify" vertical="top" wrapText="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0" fillId="5" borderId="8" xfId="0" applyFill="1" applyBorder="1" applyAlignment="1">
      <alignment horizontal="justify" vertical="top" wrapText="1"/>
    </xf>
    <xf numFmtId="0" fontId="0" fillId="5" borderId="9" xfId="0" applyFill="1" applyBorder="1" applyAlignment="1">
      <alignment horizontal="justify" vertical="top" wrapText="1"/>
    </xf>
    <xf numFmtId="0" fontId="0" fillId="5" borderId="10" xfId="0" applyFill="1" applyBorder="1" applyAlignment="1">
      <alignment horizontal="justify" vertical="top" wrapText="1"/>
    </xf>
    <xf numFmtId="0" fontId="1" fillId="4" borderId="2" xfId="0" applyFont="1" applyFill="1" applyBorder="1" applyAlignment="1">
      <alignment horizontal="left"/>
    </xf>
    <xf numFmtId="0" fontId="1" fillId="4" borderId="3" xfId="0" applyFont="1" applyFill="1" applyBorder="1" applyAlignment="1">
      <alignment horizontal="left"/>
    </xf>
    <xf numFmtId="0" fontId="1" fillId="4" borderId="4" xfId="0" applyFont="1" applyFill="1" applyBorder="1" applyAlignment="1">
      <alignment horizontal="left"/>
    </xf>
    <xf numFmtId="0" fontId="1" fillId="4" borderId="5" xfId="0" applyFont="1" applyFill="1" applyBorder="1" applyAlignment="1">
      <alignment horizontal="left" vertical="top"/>
    </xf>
    <xf numFmtId="0" fontId="1" fillId="4" borderId="6" xfId="0" applyFont="1" applyFill="1" applyBorder="1" applyAlignment="1">
      <alignment horizontal="left" vertical="top"/>
    </xf>
    <xf numFmtId="0" fontId="1" fillId="4" borderId="7" xfId="0" applyFont="1" applyFill="1" applyBorder="1" applyAlignment="1">
      <alignment horizontal="left" vertical="top"/>
    </xf>
    <xf numFmtId="0" fontId="3" fillId="5" borderId="11" xfId="0" applyFont="1" applyFill="1" applyBorder="1" applyAlignment="1">
      <alignment horizontal="justify" vertical="top" wrapText="1"/>
    </xf>
    <xf numFmtId="0" fontId="0" fillId="6" borderId="14" xfId="0" applyFill="1" applyBorder="1" applyAlignment="1">
      <alignment horizontal="justify" vertical="top" wrapText="1"/>
    </xf>
    <xf numFmtId="0" fontId="0" fillId="6" borderId="15" xfId="0" applyFill="1" applyBorder="1" applyAlignment="1">
      <alignment horizontal="justify" vertical="top" wrapText="1"/>
    </xf>
    <xf numFmtId="0" fontId="0" fillId="6" borderId="16" xfId="0" applyFill="1" applyBorder="1" applyAlignment="1">
      <alignment horizontal="justify" vertical="top" wrapText="1"/>
    </xf>
    <xf numFmtId="0" fontId="0" fillId="7" borderId="27" xfId="0"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3" fillId="6" borderId="24" xfId="0" applyFont="1" applyFill="1" applyBorder="1" applyAlignment="1">
      <alignment horizontal="center" vertical="center"/>
    </xf>
    <xf numFmtId="0" fontId="3" fillId="6" borderId="25" xfId="0" applyFont="1" applyFill="1" applyBorder="1" applyAlignment="1">
      <alignment horizontal="center" vertical="center"/>
    </xf>
    <xf numFmtId="0" fontId="0" fillId="7" borderId="26" xfId="0" applyFill="1" applyBorder="1" applyAlignment="1">
      <alignment horizontal="center" vertical="center"/>
    </xf>
    <xf numFmtId="0" fontId="0" fillId="7" borderId="24" xfId="0"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3" fillId="7" borderId="23" xfId="0" applyFont="1" applyFill="1" applyBorder="1" applyAlignment="1">
      <alignment horizontal="center" vertical="center"/>
    </xf>
    <xf numFmtId="0" fontId="0" fillId="7" borderId="21" xfId="0" applyFill="1" applyBorder="1" applyAlignment="1">
      <alignment horizontal="center" vertical="center"/>
    </xf>
    <xf numFmtId="0" fontId="3" fillId="5" borderId="21" xfId="0" applyFont="1" applyFill="1" applyBorder="1" applyAlignment="1">
      <alignment horizontal="center" vertical="center"/>
    </xf>
    <xf numFmtId="0" fontId="3" fillId="5" borderId="22"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0" fillId="7" borderId="20" xfId="0" applyFill="1" applyBorder="1" applyAlignment="1">
      <alignment horizontal="center" vertical="center"/>
    </xf>
    <xf numFmtId="0" fontId="3" fillId="7" borderId="21" xfId="0" applyFont="1" applyFill="1" applyBorder="1" applyAlignment="1">
      <alignment horizontal="center" vertical="center"/>
    </xf>
    <xf numFmtId="0" fontId="1" fillId="4" borderId="17" xfId="0" applyFont="1" applyFill="1" applyBorder="1" applyAlignment="1">
      <alignment horizontal="center" vertical="center"/>
    </xf>
    <xf numFmtId="0" fontId="0" fillId="5" borderId="3" xfId="0" applyFill="1" applyBorder="1" applyAlignment="1">
      <alignment horizontal="justify" vertical="top" wrapText="1"/>
    </xf>
    <xf numFmtId="0" fontId="0" fillId="5" borderId="4" xfId="0" applyFill="1" applyBorder="1" applyAlignment="1">
      <alignment horizontal="justify"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top"/>
    </xf>
    <xf numFmtId="0" fontId="1" fillId="4" borderId="6" xfId="0" applyFont="1" applyFill="1" applyBorder="1" applyAlignment="1">
      <alignment horizontal="left"/>
    </xf>
    <xf numFmtId="0" fontId="1" fillId="4" borderId="33" xfId="0" applyFont="1" applyFill="1" applyBorder="1" applyAlignment="1">
      <alignment horizontal="center" vertical="center" textRotation="90" wrapText="1"/>
    </xf>
    <xf numFmtId="0" fontId="1" fillId="4" borderId="30" xfId="0" applyFont="1" applyFill="1" applyBorder="1" applyAlignment="1">
      <alignment horizontal="center" vertical="center" textRotation="90" wrapText="1"/>
    </xf>
    <xf numFmtId="0" fontId="1" fillId="4" borderId="34" xfId="0" applyFont="1" applyFill="1" applyBorder="1" applyAlignment="1">
      <alignment horizontal="left" vertical="top" wrapText="1"/>
    </xf>
    <xf numFmtId="0" fontId="1" fillId="4" borderId="35" xfId="0" applyFont="1" applyFill="1" applyBorder="1" applyAlignment="1">
      <alignment horizontal="left" vertical="top" wrapText="1"/>
    </xf>
    <xf numFmtId="0" fontId="1" fillId="4" borderId="31" xfId="0" applyFont="1" applyFill="1" applyBorder="1" applyAlignment="1">
      <alignment horizontal="left" vertical="top" wrapText="1"/>
    </xf>
    <xf numFmtId="0" fontId="1" fillId="4" borderId="32" xfId="0" applyFont="1" applyFill="1" applyBorder="1" applyAlignment="1">
      <alignment horizontal="left" vertical="top" wrapText="1"/>
    </xf>
    <xf numFmtId="0" fontId="3" fillId="6" borderId="12" xfId="0" applyFont="1" applyFill="1" applyBorder="1" applyAlignment="1">
      <alignment horizontal="justify" vertical="top" wrapText="1"/>
    </xf>
    <xf numFmtId="0" fontId="1"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1" fillId="4" borderId="11" xfId="0" applyFont="1" applyFill="1" applyBorder="1" applyAlignment="1">
      <alignment horizontal="left" vertical="top" wrapText="1"/>
    </xf>
    <xf numFmtId="0" fontId="1" fillId="4" borderId="12" xfId="0" applyFont="1" applyFill="1" applyBorder="1" applyAlignment="1">
      <alignment horizontal="left" vertical="top" wrapText="1"/>
    </xf>
    <xf numFmtId="0" fontId="4" fillId="6" borderId="33" xfId="0" applyFont="1" applyFill="1" applyBorder="1" applyAlignment="1">
      <alignment horizontal="left" vertical="top" wrapText="1"/>
    </xf>
    <xf numFmtId="0" fontId="4" fillId="6" borderId="34" xfId="0" applyFont="1" applyFill="1" applyBorder="1" applyAlignment="1">
      <alignment horizontal="left" vertical="top" wrapText="1"/>
    </xf>
    <xf numFmtId="0" fontId="4" fillId="6" borderId="35" xfId="0" applyFont="1" applyFill="1" applyBorder="1" applyAlignment="1">
      <alignment horizontal="left" vertical="top" wrapText="1"/>
    </xf>
    <xf numFmtId="0" fontId="0" fillId="5" borderId="5" xfId="0" applyFill="1" applyBorder="1" applyAlignment="1">
      <alignment horizontal="justify" vertical="top" wrapText="1"/>
    </xf>
    <xf numFmtId="0" fontId="1" fillId="4" borderId="1" xfId="0" applyFont="1" applyFill="1" applyBorder="1" applyAlignment="1">
      <alignment horizontal="left" vertical="top"/>
    </xf>
    <xf numFmtId="0" fontId="0" fillId="5" borderId="1" xfId="0" applyFill="1" applyBorder="1" applyAlignment="1">
      <alignment horizontal="justify" vertical="top" wrapText="1"/>
    </xf>
    <xf numFmtId="0" fontId="0" fillId="6" borderId="6" xfId="0" applyFill="1" applyBorder="1" applyAlignment="1">
      <alignment horizontal="justify" vertical="top" wrapText="1"/>
    </xf>
    <xf numFmtId="0" fontId="0" fillId="5" borderId="6" xfId="0" applyFill="1" applyBorder="1" applyAlignment="1">
      <alignment horizontal="justify" vertical="top" wrapText="1"/>
    </xf>
    <xf numFmtId="0" fontId="3" fillId="5" borderId="6" xfId="0" applyFont="1" applyFill="1" applyBorder="1" applyAlignment="1">
      <alignment horizontal="justify" vertical="top" wrapText="1"/>
    </xf>
    <xf numFmtId="0" fontId="3" fillId="5" borderId="31" xfId="0" applyFont="1" applyFill="1" applyBorder="1" applyAlignment="1">
      <alignment horizontal="justify" vertical="top" wrapText="1"/>
    </xf>
    <xf numFmtId="0" fontId="0" fillId="5" borderId="31" xfId="0" applyFill="1" applyBorder="1" applyAlignment="1">
      <alignment horizontal="justify" vertical="top" wrapText="1"/>
    </xf>
    <xf numFmtId="0" fontId="0" fillId="5" borderId="32" xfId="0" applyFill="1" applyBorder="1" applyAlignment="1">
      <alignment horizontal="justify" vertical="top" wrapText="1"/>
    </xf>
    <xf numFmtId="0" fontId="1" fillId="4" borderId="5" xfId="0" applyFont="1" applyFill="1" applyBorder="1" applyAlignment="1">
      <alignment horizontal="left"/>
    </xf>
    <xf numFmtId="0" fontId="3" fillId="5" borderId="12" xfId="0" applyFont="1" applyFill="1" applyBorder="1" applyAlignment="1">
      <alignment horizontal="justify" vertical="top" wrapText="1"/>
    </xf>
    <xf numFmtId="0" fontId="1" fillId="4" borderId="14" xfId="0" applyFont="1" applyFill="1" applyBorder="1" applyAlignment="1">
      <alignment horizontal="left" vertical="top" wrapText="1"/>
    </xf>
    <xf numFmtId="0" fontId="1" fillId="4" borderId="15" xfId="0" applyFont="1" applyFill="1" applyBorder="1" applyAlignment="1">
      <alignment horizontal="left" vertical="top" wrapText="1"/>
    </xf>
    <xf numFmtId="0" fontId="3" fillId="5" borderId="15" xfId="0" applyFont="1" applyFill="1" applyBorder="1" applyAlignment="1">
      <alignment horizontal="justify" vertical="top" wrapText="1"/>
    </xf>
    <xf numFmtId="0" fontId="2" fillId="2" borderId="0" xfId="0" applyFont="1" applyFill="1" applyAlignment="1">
      <alignment horizontal="center" vertical="center"/>
    </xf>
    <xf numFmtId="0" fontId="1" fillId="4" borderId="6" xfId="0" applyFont="1" applyFill="1" applyBorder="1" applyAlignment="1">
      <alignment textRotation="90"/>
    </xf>
    <xf numFmtId="0" fontId="1" fillId="4" borderId="7" xfId="0" applyFont="1" applyFill="1" applyBorder="1" applyAlignment="1">
      <alignment textRotation="90"/>
    </xf>
    <xf numFmtId="0" fontId="1" fillId="4" borderId="5" xfId="0" applyFont="1" applyFill="1" applyBorder="1"/>
    <xf numFmtId="0" fontId="1" fillId="4" borderId="6" xfId="0" applyFont="1" applyFill="1" applyBorder="1"/>
    <xf numFmtId="0" fontId="1" fillId="4" borderId="7" xfId="0" applyFont="1" applyFill="1" applyBorder="1"/>
    <xf numFmtId="0" fontId="0" fillId="6" borderId="6" xfId="0" applyFill="1" applyBorder="1" applyAlignment="1">
      <alignment horizontal="left"/>
    </xf>
    <xf numFmtId="49" fontId="0" fillId="6" borderId="6" xfId="0" applyNumberFormat="1" applyFill="1" applyBorder="1" applyAlignment="1">
      <alignment horizontal="left"/>
    </xf>
    <xf numFmtId="49" fontId="0" fillId="5" borderId="6" xfId="0" applyNumberFormat="1" applyFill="1" applyBorder="1" applyAlignment="1">
      <alignment horizontal="left"/>
    </xf>
    <xf numFmtId="49" fontId="0" fillId="5" borderId="5" xfId="0" applyNumberFormat="1" applyFill="1" applyBorder="1" applyAlignment="1">
      <alignment horizontal="left"/>
    </xf>
    <xf numFmtId="0" fontId="0" fillId="5" borderId="6" xfId="0" applyFill="1" applyBorder="1" applyAlignment="1">
      <alignment horizontal="left"/>
    </xf>
    <xf numFmtId="0" fontId="0" fillId="6" borderId="7" xfId="0" applyFill="1" applyBorder="1" applyAlignment="1">
      <alignment horizontal="left"/>
    </xf>
    <xf numFmtId="0" fontId="3" fillId="5" borderId="1" xfId="0" applyFont="1" applyFill="1" applyBorder="1" applyAlignment="1">
      <alignment horizontal="justify" vertical="top" wrapText="1"/>
    </xf>
    <xf numFmtId="0" fontId="1" fillId="0" borderId="42" xfId="0" applyFont="1" applyBorder="1" applyAlignment="1" applyProtection="1">
      <alignment horizontal="left" vertical="center" wrapText="1"/>
      <protection locked="0"/>
    </xf>
    <xf numFmtId="0" fontId="1" fillId="0" borderId="43" xfId="0" applyFont="1" applyBorder="1" applyAlignment="1" applyProtection="1">
      <alignment horizontal="left" vertical="center" wrapText="1"/>
      <protection locked="0"/>
    </xf>
    <xf numFmtId="0" fontId="1" fillId="0" borderId="41" xfId="0" applyFont="1" applyBorder="1" applyAlignment="1" applyProtection="1">
      <alignment horizontal="left" vertical="center" wrapText="1"/>
      <protection locked="0"/>
    </xf>
    <xf numFmtId="0" fontId="5" fillId="0" borderId="0" xfId="0" applyFont="1" applyAlignment="1">
      <alignment horizontal="center" vertical="center"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3" fillId="0" borderId="43" xfId="0" applyFont="1" applyBorder="1" applyAlignment="1">
      <alignment horizontal="left" vertical="top" wrapText="1"/>
    </xf>
    <xf numFmtId="0" fontId="3" fillId="0" borderId="41"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6" fillId="0" borderId="0" xfId="0" applyFont="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1" fillId="0" borderId="11" xfId="0" applyFont="1" applyBorder="1" applyAlignment="1">
      <alignment horizontal="left" vertical="top"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3" fillId="0" borderId="38" xfId="0" applyFont="1" applyBorder="1" applyAlignment="1">
      <alignment horizontal="left" vertical="top" wrapText="1"/>
    </xf>
    <xf numFmtId="0" fontId="3" fillId="0" borderId="39" xfId="0" applyFont="1" applyBorder="1" applyAlignment="1">
      <alignment horizontal="left" vertical="top" wrapText="1"/>
    </xf>
    <xf numFmtId="0" fontId="1" fillId="0" borderId="46" xfId="0" applyFont="1" applyBorder="1" applyAlignment="1">
      <alignment horizontal="center" vertical="center" textRotation="90"/>
    </xf>
    <xf numFmtId="0" fontId="1" fillId="0" borderId="44" xfId="0" applyFont="1" applyBorder="1" applyAlignment="1">
      <alignment horizontal="center" vertical="center" textRotation="90"/>
    </xf>
    <xf numFmtId="0" fontId="1" fillId="0" borderId="45" xfId="0" applyFont="1" applyBorder="1" applyAlignment="1">
      <alignment horizontal="center" vertical="center" textRotation="90"/>
    </xf>
    <xf numFmtId="0" fontId="1" fillId="0" borderId="34" xfId="0" applyFont="1" applyBorder="1" applyAlignment="1">
      <alignment vertical="top" wrapText="1"/>
    </xf>
    <xf numFmtId="0" fontId="1" fillId="0" borderId="35" xfId="0" applyFont="1" applyBorder="1" applyAlignment="1">
      <alignment vertical="top" wrapText="1"/>
    </xf>
    <xf numFmtId="0" fontId="3" fillId="0" borderId="34" xfId="0" applyFont="1" applyBorder="1" applyAlignment="1">
      <alignment horizontal="left" vertical="top" wrapText="1"/>
    </xf>
    <xf numFmtId="0" fontId="3" fillId="0" borderId="35" xfId="0" applyFont="1" applyBorder="1" applyAlignment="1">
      <alignment horizontal="left" vertical="top" wrapText="1"/>
    </xf>
    <xf numFmtId="0" fontId="1" fillId="0" borderId="0" xfId="0" applyFont="1" applyAlignment="1">
      <alignment vertical="top" wrapText="1"/>
    </xf>
    <xf numFmtId="0" fontId="1" fillId="0" borderId="40" xfId="0" applyFont="1" applyBorder="1" applyAlignment="1">
      <alignment vertical="top" wrapText="1"/>
    </xf>
    <xf numFmtId="0" fontId="3" fillId="0" borderId="0" xfId="0" applyFont="1" applyAlignment="1">
      <alignment horizontal="left" vertical="top" wrapText="1"/>
    </xf>
    <xf numFmtId="0" fontId="3" fillId="0" borderId="40" xfId="0" applyFont="1" applyBorder="1" applyAlignment="1">
      <alignment horizontal="left" vertical="top" wrapText="1"/>
    </xf>
    <xf numFmtId="0" fontId="1" fillId="0" borderId="43" xfId="0" applyFont="1" applyBorder="1" applyAlignment="1">
      <alignment vertical="top" wrapText="1"/>
    </xf>
    <xf numFmtId="0" fontId="1" fillId="0" borderId="41" xfId="0" applyFont="1" applyBorder="1" applyAlignment="1">
      <alignment vertical="top" wrapText="1"/>
    </xf>
    <xf numFmtId="0" fontId="3" fillId="0" borderId="43" xfId="0" applyFont="1" applyBorder="1" applyAlignment="1">
      <alignment horizontal="justify" vertical="top" wrapText="1"/>
    </xf>
    <xf numFmtId="0" fontId="3" fillId="0" borderId="41" xfId="0" applyFont="1" applyBorder="1" applyAlignment="1">
      <alignment horizontal="justify" vertical="top"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1" fillId="0" borderId="36" xfId="0" applyFont="1" applyBorder="1" applyAlignment="1">
      <alignment horizontal="left" vertical="top" wrapText="1"/>
    </xf>
    <xf numFmtId="0" fontId="3" fillId="0" borderId="36" xfId="0" applyFont="1" applyBorder="1" applyAlignment="1">
      <alignment horizontal="left" vertical="top" wrapText="1"/>
    </xf>
    <xf numFmtId="0" fontId="1" fillId="0" borderId="46" xfId="0" applyFont="1" applyBorder="1" applyAlignment="1">
      <alignment horizontal="center" vertical="center" textRotation="90" wrapText="1"/>
    </xf>
    <xf numFmtId="0" fontId="1" fillId="0" borderId="44" xfId="0" applyFont="1" applyBorder="1" applyAlignment="1">
      <alignment horizontal="center" vertical="center" textRotation="90" wrapText="1"/>
    </xf>
    <xf numFmtId="0" fontId="1" fillId="0" borderId="45" xfId="0" applyFont="1" applyBorder="1" applyAlignment="1">
      <alignment horizontal="center" vertical="center" textRotation="90" wrapText="1"/>
    </xf>
    <xf numFmtId="0" fontId="3" fillId="0" borderId="11" xfId="0" applyFont="1" applyBorder="1" applyAlignment="1">
      <alignment horizontal="justify" vertical="top" wrapText="1"/>
    </xf>
    <xf numFmtId="0" fontId="3" fillId="0" borderId="12" xfId="0" applyFont="1" applyBorder="1" applyAlignment="1">
      <alignment horizontal="justify" vertical="top" wrapText="1"/>
    </xf>
    <xf numFmtId="0" fontId="3" fillId="0" borderId="13" xfId="0" applyFont="1" applyBorder="1" applyAlignment="1">
      <alignment horizontal="justify" vertical="top" wrapText="1"/>
    </xf>
    <xf numFmtId="0" fontId="3" fillId="0" borderId="36" xfId="0" applyFont="1" applyBorder="1" applyAlignment="1">
      <alignment horizontal="justify"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1" fillId="0" borderId="42" xfId="0" applyFont="1" applyBorder="1" applyAlignment="1">
      <alignment horizontal="left" vertical="top" wrapText="1"/>
    </xf>
    <xf numFmtId="0" fontId="9" fillId="6" borderId="6" xfId="1" applyFill="1" applyBorder="1" applyAlignment="1">
      <alignment horizontal="left"/>
    </xf>
  </cellXfs>
  <cellStyles count="2">
    <cellStyle name="Köprü" xfId="1" builtinId="8"/>
    <cellStyle name="Normal" xfId="0" builtinId="0"/>
  </cellStyles>
  <dxfs count="6">
    <dxf>
      <fill>
        <patternFill>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47625</xdr:colOff>
      <xdr:row>21</xdr:row>
      <xdr:rowOff>114300</xdr:rowOff>
    </xdr:from>
    <xdr:to>
      <xdr:col>26</xdr:col>
      <xdr:colOff>181468</xdr:colOff>
      <xdr:row>21</xdr:row>
      <xdr:rowOff>1562302</xdr:rowOff>
    </xdr:to>
    <xdr:pic>
      <xdr:nvPicPr>
        <xdr:cNvPr id="2" name="Resim 1">
          <a:extLst>
            <a:ext uri="{FF2B5EF4-FFF2-40B4-BE49-F238E27FC236}">
              <a16:creationId xmlns:a16="http://schemas.microsoft.com/office/drawing/2014/main" id="{5BF8503B-822D-C820-7432-B42DDAD653D4}"/>
            </a:ext>
          </a:extLst>
        </xdr:cNvPr>
        <xdr:cNvPicPr>
          <a:picLocks noChangeAspect="1"/>
        </xdr:cNvPicPr>
      </xdr:nvPicPr>
      <xdr:blipFill>
        <a:blip xmlns:r="http://schemas.openxmlformats.org/officeDocument/2006/relationships" r:embed="rId1"/>
        <a:stretch>
          <a:fillRect/>
        </a:stretch>
      </xdr:blipFill>
      <xdr:spPr>
        <a:xfrm>
          <a:off x="1847850" y="6210300"/>
          <a:ext cx="3534268" cy="1448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9382</xdr:colOff>
      <xdr:row>25</xdr:row>
      <xdr:rowOff>38099</xdr:rowOff>
    </xdr:from>
    <xdr:to>
      <xdr:col>25</xdr:col>
      <xdr:colOff>104775</xdr:colOff>
      <xdr:row>25</xdr:row>
      <xdr:rowOff>1615636</xdr:rowOff>
    </xdr:to>
    <xdr:pic>
      <xdr:nvPicPr>
        <xdr:cNvPr id="3" name="Resim 2">
          <a:extLst>
            <a:ext uri="{FF2B5EF4-FFF2-40B4-BE49-F238E27FC236}">
              <a16:creationId xmlns:a16="http://schemas.microsoft.com/office/drawing/2014/main" id="{95CE9066-2A68-CF59-AE71-47087D5A2104}"/>
            </a:ext>
          </a:extLst>
        </xdr:cNvPr>
        <xdr:cNvPicPr>
          <a:picLocks noChangeAspect="1"/>
        </xdr:cNvPicPr>
      </xdr:nvPicPr>
      <xdr:blipFill>
        <a:blip xmlns:r="http://schemas.openxmlformats.org/officeDocument/2006/relationships" r:embed="rId1"/>
        <a:stretch>
          <a:fillRect/>
        </a:stretch>
      </xdr:blipFill>
      <xdr:spPr>
        <a:xfrm>
          <a:off x="2009632" y="7086599"/>
          <a:ext cx="3095768" cy="157753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youtu.be/mEHhqHnc-2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topLeftCell="H1" workbookViewId="0">
      <selection activeCell="K3" sqref="K3"/>
    </sheetView>
  </sheetViews>
  <sheetFormatPr defaultRowHeight="15" x14ac:dyDescent="0.25"/>
  <cols>
    <col min="1" max="1" width="16" customWidth="1"/>
    <col min="2" max="2" width="34" customWidth="1"/>
    <col min="4" max="4" width="12" customWidth="1"/>
    <col min="5" max="5" width="42" customWidth="1"/>
    <col min="7" max="7" width="14" customWidth="1"/>
    <col min="8" max="8" width="32" customWidth="1"/>
    <col min="10" max="10" width="12" customWidth="1"/>
    <col min="11" max="11" width="55" customWidth="1"/>
    <col min="13" max="13" width="36" customWidth="1"/>
    <col min="15" max="15" width="14" customWidth="1"/>
    <col min="17" max="17" width="18" customWidth="1"/>
    <col min="18" max="18" width="55" customWidth="1"/>
  </cols>
  <sheetData>
    <row r="1" spans="1:19" ht="35.25" customHeight="1" x14ac:dyDescent="0.25">
      <c r="A1" s="5" t="s">
        <v>0</v>
      </c>
      <c r="B1" s="5" t="s">
        <v>1</v>
      </c>
      <c r="C1" s="3"/>
      <c r="D1" s="7" t="s">
        <v>2</v>
      </c>
      <c r="E1" s="7" t="s">
        <v>3</v>
      </c>
      <c r="F1" s="3"/>
      <c r="G1" s="7" t="s">
        <v>4</v>
      </c>
      <c r="H1" s="7" t="s">
        <v>5</v>
      </c>
      <c r="I1" s="3"/>
      <c r="J1" s="7" t="s">
        <v>6</v>
      </c>
      <c r="K1" s="7" t="s">
        <v>7</v>
      </c>
      <c r="L1" s="3"/>
      <c r="M1" s="4" t="s">
        <v>8</v>
      </c>
      <c r="N1" s="3"/>
      <c r="O1" s="3" t="s">
        <v>9</v>
      </c>
      <c r="P1" s="3"/>
      <c r="Q1" s="4" t="s">
        <v>10</v>
      </c>
      <c r="R1" s="4" t="s">
        <v>11</v>
      </c>
      <c r="S1" s="9" t="s">
        <v>12</v>
      </c>
    </row>
    <row r="2" spans="1:19" ht="35.25" customHeight="1" x14ac:dyDescent="0.25">
      <c r="A2" s="6" t="s">
        <v>13</v>
      </c>
      <c r="B2" s="6" t="s">
        <v>14</v>
      </c>
      <c r="C2" s="3"/>
      <c r="D2" s="8" t="s">
        <v>15</v>
      </c>
      <c r="E2" s="8" t="s">
        <v>16</v>
      </c>
      <c r="F2" s="3"/>
      <c r="G2" s="8" t="s">
        <v>15</v>
      </c>
      <c r="H2" s="8" t="s">
        <v>17</v>
      </c>
      <c r="I2" s="3"/>
      <c r="J2" s="8" t="s">
        <v>18</v>
      </c>
      <c r="K2" s="8" t="s">
        <v>19</v>
      </c>
      <c r="L2" s="3"/>
      <c r="M2" s="3" t="s">
        <v>20</v>
      </c>
      <c r="N2" s="3"/>
      <c r="O2" s="3"/>
      <c r="P2" s="3"/>
      <c r="Q2" s="3" t="s">
        <v>21</v>
      </c>
      <c r="R2" s="3" t="s">
        <v>22</v>
      </c>
      <c r="S2" t="s">
        <v>23</v>
      </c>
    </row>
    <row r="3" spans="1:19" ht="35.25" customHeight="1" x14ac:dyDescent="0.25">
      <c r="A3" s="6" t="s">
        <v>24</v>
      </c>
      <c r="B3" s="6" t="s">
        <v>25</v>
      </c>
      <c r="C3" s="3"/>
      <c r="D3" s="8" t="s">
        <v>26</v>
      </c>
      <c r="E3" s="8" t="s">
        <v>27</v>
      </c>
      <c r="F3" s="3"/>
      <c r="G3" s="8" t="s">
        <v>26</v>
      </c>
      <c r="H3" s="8" t="s">
        <v>28</v>
      </c>
      <c r="I3" s="3"/>
      <c r="J3" s="8" t="s">
        <v>29</v>
      </c>
      <c r="K3" s="8" t="s">
        <v>30</v>
      </c>
      <c r="L3" s="3"/>
      <c r="M3" s="3" t="s">
        <v>31</v>
      </c>
      <c r="N3" s="3"/>
      <c r="O3" s="3"/>
      <c r="P3" s="3"/>
      <c r="Q3" s="3" t="s">
        <v>32</v>
      </c>
      <c r="R3" s="3" t="s">
        <v>33</v>
      </c>
      <c r="S3" t="s">
        <v>34</v>
      </c>
    </row>
    <row r="4" spans="1:19" ht="35.25" customHeight="1" x14ac:dyDescent="0.25">
      <c r="A4" s="6" t="s">
        <v>35</v>
      </c>
      <c r="B4" s="6" t="s">
        <v>36</v>
      </c>
      <c r="C4" s="3"/>
      <c r="D4" s="8" t="s">
        <v>37</v>
      </c>
      <c r="E4" s="8" t="s">
        <v>38</v>
      </c>
      <c r="F4" s="3"/>
      <c r="G4" s="8" t="s">
        <v>37</v>
      </c>
      <c r="H4" s="8" t="s">
        <v>39</v>
      </c>
      <c r="I4" s="3"/>
      <c r="J4" s="8" t="s">
        <v>40</v>
      </c>
      <c r="K4" s="8" t="s">
        <v>41</v>
      </c>
      <c r="L4" s="3"/>
      <c r="M4" s="3" t="s">
        <v>42</v>
      </c>
      <c r="N4" s="3"/>
      <c r="O4" s="3"/>
      <c r="P4" s="3"/>
      <c r="Q4" s="3" t="s">
        <v>43</v>
      </c>
      <c r="R4" s="3" t="s">
        <v>44</v>
      </c>
      <c r="S4" t="s">
        <v>45</v>
      </c>
    </row>
    <row r="5" spans="1:19" ht="35.25" customHeight="1" x14ac:dyDescent="0.25">
      <c r="A5" s="6" t="s">
        <v>46</v>
      </c>
      <c r="B5" s="6" t="s">
        <v>47</v>
      </c>
      <c r="C5" s="3"/>
      <c r="D5" s="8" t="s">
        <v>48</v>
      </c>
      <c r="E5" s="8" t="s">
        <v>49</v>
      </c>
      <c r="F5" s="3"/>
      <c r="G5" s="8" t="s">
        <v>48</v>
      </c>
      <c r="H5" s="8" t="s">
        <v>50</v>
      </c>
      <c r="I5" s="3"/>
      <c r="J5" s="8" t="s">
        <v>51</v>
      </c>
      <c r="K5" s="8" t="s">
        <v>52</v>
      </c>
      <c r="L5" s="3"/>
      <c r="M5" s="3" t="s">
        <v>53</v>
      </c>
      <c r="N5" s="3"/>
      <c r="O5" s="3"/>
      <c r="P5" s="3"/>
      <c r="Q5" s="3" t="s">
        <v>54</v>
      </c>
      <c r="R5" s="3" t="s">
        <v>55</v>
      </c>
      <c r="S5" t="s">
        <v>56</v>
      </c>
    </row>
    <row r="6" spans="1:19" ht="35.25" customHeight="1" x14ac:dyDescent="0.25">
      <c r="A6" s="6" t="s">
        <v>57</v>
      </c>
      <c r="B6" s="6" t="s">
        <v>58</v>
      </c>
      <c r="C6" s="3"/>
      <c r="D6" s="8" t="s">
        <v>59</v>
      </c>
      <c r="E6" s="8" t="s">
        <v>60</v>
      </c>
      <c r="F6" s="3"/>
      <c r="G6" s="8" t="s">
        <v>59</v>
      </c>
      <c r="H6" s="8" t="s">
        <v>61</v>
      </c>
      <c r="I6" s="3"/>
      <c r="J6" s="8" t="s">
        <v>62</v>
      </c>
      <c r="K6" s="8" t="s">
        <v>63</v>
      </c>
      <c r="L6" s="3"/>
      <c r="M6" s="3" t="s">
        <v>64</v>
      </c>
      <c r="N6" s="3"/>
      <c r="O6" s="3"/>
      <c r="P6" s="3"/>
      <c r="Q6" s="3" t="s">
        <v>65</v>
      </c>
      <c r="R6" s="3" t="s">
        <v>66</v>
      </c>
      <c r="S6" t="s">
        <v>67</v>
      </c>
    </row>
    <row r="7" spans="1:19" ht="35.25" customHeight="1" x14ac:dyDescent="0.25">
      <c r="A7" s="6" t="s">
        <v>68</v>
      </c>
      <c r="B7" s="6" t="s">
        <v>69</v>
      </c>
      <c r="C7" s="3"/>
      <c r="D7" s="8" t="s">
        <v>70</v>
      </c>
      <c r="E7" s="8" t="s">
        <v>71</v>
      </c>
      <c r="F7" s="3"/>
      <c r="G7" s="8" t="s">
        <v>70</v>
      </c>
      <c r="H7" s="8" t="s">
        <v>72</v>
      </c>
      <c r="I7" s="3"/>
      <c r="J7" s="8" t="s">
        <v>73</v>
      </c>
      <c r="K7" s="8" t="s">
        <v>74</v>
      </c>
      <c r="L7" s="3"/>
      <c r="M7" s="3"/>
      <c r="N7" s="3"/>
      <c r="O7" s="3"/>
      <c r="P7" s="3"/>
      <c r="Q7" s="3"/>
      <c r="R7" s="3"/>
    </row>
    <row r="8" spans="1:19" ht="35.25" customHeight="1" x14ac:dyDescent="0.25">
      <c r="A8" s="3"/>
      <c r="B8" s="3"/>
      <c r="C8" s="3"/>
      <c r="D8" s="8" t="s">
        <v>75</v>
      </c>
      <c r="E8" s="8" t="s">
        <v>76</v>
      </c>
      <c r="F8" s="3"/>
      <c r="G8" s="8" t="s">
        <v>75</v>
      </c>
      <c r="H8" s="8" t="s">
        <v>77</v>
      </c>
      <c r="I8" s="3"/>
      <c r="J8" s="8" t="s">
        <v>78</v>
      </c>
      <c r="K8" s="8" t="s">
        <v>79</v>
      </c>
      <c r="L8" s="3"/>
      <c r="M8" s="3"/>
      <c r="N8" s="3"/>
      <c r="O8" s="3"/>
      <c r="P8" s="3"/>
      <c r="Q8" s="3"/>
      <c r="R8" s="3"/>
    </row>
    <row r="9" spans="1:19" ht="35.25" customHeight="1" x14ac:dyDescent="0.25">
      <c r="A9" s="3"/>
      <c r="B9" s="3"/>
      <c r="C9" s="3"/>
      <c r="D9" s="3"/>
      <c r="E9" s="3"/>
      <c r="F9" s="3"/>
      <c r="G9" s="8" t="s">
        <v>80</v>
      </c>
      <c r="H9" s="8" t="s">
        <v>81</v>
      </c>
      <c r="I9" s="3"/>
      <c r="J9" s="8" t="s">
        <v>82</v>
      </c>
      <c r="K9" s="8" t="s">
        <v>83</v>
      </c>
      <c r="L9" s="3"/>
      <c r="M9" s="3"/>
      <c r="N9" s="3"/>
      <c r="O9" s="3"/>
      <c r="P9" s="3"/>
      <c r="Q9" s="3"/>
      <c r="R9" s="3"/>
    </row>
    <row r="10" spans="1:19" ht="35.25" customHeight="1" x14ac:dyDescent="0.25">
      <c r="A10" s="3"/>
      <c r="B10" s="3"/>
      <c r="C10" s="3"/>
      <c r="D10" s="3"/>
      <c r="E10" s="3"/>
      <c r="F10" s="3"/>
      <c r="G10" s="3"/>
      <c r="H10" s="3"/>
      <c r="I10" s="3"/>
      <c r="J10" s="8" t="s">
        <v>84</v>
      </c>
      <c r="K10" s="8" t="s">
        <v>85</v>
      </c>
      <c r="L10" s="3"/>
      <c r="M10" s="3"/>
      <c r="N10" s="3"/>
      <c r="O10" s="3"/>
      <c r="P10" s="3"/>
      <c r="Q10" s="3"/>
      <c r="R10" s="3"/>
    </row>
    <row r="11" spans="1:19" ht="35.25" customHeight="1" x14ac:dyDescent="0.25">
      <c r="A11" s="3"/>
      <c r="B11" s="3"/>
      <c r="C11" s="3"/>
      <c r="D11" s="3"/>
      <c r="E11" s="3"/>
      <c r="F11" s="3"/>
      <c r="G11" s="3"/>
      <c r="H11" s="3"/>
      <c r="I11" s="3"/>
      <c r="J11" s="8" t="s">
        <v>86</v>
      </c>
      <c r="K11" s="8" t="s">
        <v>87</v>
      </c>
      <c r="L11" s="3"/>
      <c r="M11" s="3"/>
      <c r="N11" s="3"/>
      <c r="O11" s="3"/>
      <c r="P11" s="3"/>
      <c r="Q11" s="3"/>
      <c r="R11" s="3"/>
    </row>
    <row r="12" spans="1:19" ht="35.25" customHeight="1" x14ac:dyDescent="0.25">
      <c r="A12" s="3"/>
      <c r="B12" s="3"/>
      <c r="C12" s="3"/>
      <c r="D12" s="3"/>
      <c r="E12" s="3"/>
      <c r="F12" s="3"/>
      <c r="G12" s="3"/>
      <c r="H12" s="3"/>
      <c r="I12" s="3"/>
      <c r="J12" s="8" t="s">
        <v>88</v>
      </c>
      <c r="K12" s="8" t="s">
        <v>89</v>
      </c>
      <c r="L12" s="3"/>
      <c r="M12" s="3"/>
      <c r="N12" s="3"/>
      <c r="O12" s="3"/>
      <c r="P12" s="3"/>
      <c r="Q12" s="3"/>
      <c r="R12" s="3"/>
    </row>
    <row r="13" spans="1:19" ht="35.25" customHeight="1" x14ac:dyDescent="0.25">
      <c r="A13" s="3"/>
      <c r="B13" s="3"/>
      <c r="C13" s="3"/>
      <c r="D13" s="3"/>
      <c r="E13" s="3"/>
      <c r="F13" s="3"/>
      <c r="G13" s="3"/>
      <c r="H13" s="3"/>
      <c r="I13" s="3"/>
      <c r="J13" s="8" t="s">
        <v>90</v>
      </c>
      <c r="K13" s="8" t="s">
        <v>91</v>
      </c>
      <c r="L13" s="3"/>
      <c r="M13" s="3"/>
      <c r="N13" s="3"/>
      <c r="O13" s="3"/>
      <c r="P13" s="3"/>
      <c r="Q13" s="3"/>
      <c r="R13" s="3"/>
    </row>
    <row r="14" spans="1:19" ht="35.25" customHeight="1" x14ac:dyDescent="0.25">
      <c r="A14" s="3"/>
      <c r="B14" s="3"/>
      <c r="C14" s="3"/>
      <c r="D14" s="3"/>
      <c r="E14" s="3"/>
      <c r="F14" s="3"/>
      <c r="G14" s="3"/>
      <c r="H14" s="3"/>
      <c r="I14" s="3"/>
      <c r="J14" s="8" t="s">
        <v>92</v>
      </c>
      <c r="K14" s="8" t="s">
        <v>93</v>
      </c>
      <c r="L14" s="3"/>
      <c r="M14" s="3"/>
      <c r="N14" s="3"/>
      <c r="O14" s="3"/>
      <c r="P14" s="3"/>
      <c r="Q14" s="3"/>
      <c r="R14" s="3"/>
    </row>
    <row r="15" spans="1:19" ht="35.25" customHeight="1" x14ac:dyDescent="0.25">
      <c r="A15" s="3"/>
      <c r="B15" s="3"/>
      <c r="C15" s="3"/>
      <c r="D15" s="3"/>
      <c r="E15" s="3"/>
      <c r="F15" s="3"/>
      <c r="G15" s="3"/>
      <c r="H15" s="3"/>
      <c r="I15" s="3"/>
      <c r="J15" s="8" t="s">
        <v>94</v>
      </c>
      <c r="K15" s="8" t="s">
        <v>95</v>
      </c>
      <c r="L15" s="3"/>
      <c r="M15" s="3"/>
      <c r="N15" s="3"/>
      <c r="O15" s="3"/>
      <c r="P15" s="3"/>
      <c r="Q15" s="3"/>
      <c r="R15" s="3"/>
    </row>
    <row r="16" spans="1:19" ht="35.25" customHeight="1" x14ac:dyDescent="0.25">
      <c r="A16" s="3"/>
      <c r="B16" s="3"/>
      <c r="C16" s="3"/>
      <c r="D16" s="3"/>
      <c r="E16" s="3"/>
      <c r="F16" s="3"/>
      <c r="G16" s="3"/>
      <c r="H16" s="3"/>
      <c r="I16" s="3"/>
      <c r="J16" s="8" t="s">
        <v>96</v>
      </c>
      <c r="K16" s="8" t="s">
        <v>97</v>
      </c>
      <c r="L16" s="3"/>
      <c r="M16" s="3"/>
      <c r="N16" s="3"/>
      <c r="O16" s="3"/>
      <c r="P16" s="3"/>
      <c r="Q16" s="3"/>
      <c r="R16" s="3"/>
    </row>
    <row r="17" spans="1:18" ht="35.25" customHeight="1" x14ac:dyDescent="0.25">
      <c r="A17" s="3"/>
      <c r="B17" s="3"/>
      <c r="C17" s="3"/>
      <c r="D17" s="3"/>
      <c r="E17" s="3"/>
      <c r="F17" s="3"/>
      <c r="G17" s="3"/>
      <c r="H17" s="3"/>
      <c r="I17" s="3"/>
      <c r="J17" s="8" t="s">
        <v>98</v>
      </c>
      <c r="K17" s="8" t="s">
        <v>99</v>
      </c>
      <c r="L17" s="3"/>
      <c r="M17" s="3"/>
      <c r="N17" s="3"/>
      <c r="O17" s="3"/>
      <c r="P17" s="3"/>
      <c r="Q17" s="3"/>
      <c r="R17" s="3"/>
    </row>
    <row r="18" spans="1:18" ht="35.25" customHeight="1" x14ac:dyDescent="0.25">
      <c r="A18" s="3"/>
      <c r="B18" s="3"/>
      <c r="C18" s="3"/>
      <c r="D18" s="3"/>
      <c r="E18" s="3"/>
      <c r="F18" s="3"/>
      <c r="G18" s="3"/>
      <c r="H18" s="3"/>
      <c r="I18" s="3"/>
      <c r="J18" s="8" t="s">
        <v>100</v>
      </c>
      <c r="K18" s="8" t="s">
        <v>101</v>
      </c>
      <c r="L18" s="3"/>
      <c r="M18" s="3"/>
      <c r="N18" s="3"/>
      <c r="O18" s="3"/>
      <c r="P18" s="3"/>
      <c r="Q18" s="3"/>
      <c r="R18" s="3"/>
    </row>
    <row r="19" spans="1:18" ht="35.25" customHeight="1" x14ac:dyDescent="0.25">
      <c r="A19" s="3"/>
      <c r="B19" s="3"/>
      <c r="C19" s="3"/>
      <c r="D19" s="3"/>
      <c r="E19" s="3"/>
      <c r="F19" s="3"/>
      <c r="G19" s="3"/>
      <c r="H19" s="3"/>
      <c r="I19" s="3"/>
      <c r="J19" s="8" t="s">
        <v>102</v>
      </c>
      <c r="K19" s="8" t="s">
        <v>103</v>
      </c>
      <c r="L19" s="3"/>
      <c r="M19" s="3"/>
      <c r="N19" s="3"/>
      <c r="O19" s="3"/>
      <c r="P19" s="3"/>
      <c r="Q19" s="3"/>
      <c r="R19" s="3"/>
    </row>
    <row r="20" spans="1:18" ht="35.25" customHeight="1" x14ac:dyDescent="0.25">
      <c r="A20" s="3"/>
      <c r="B20" s="3"/>
      <c r="C20" s="3"/>
      <c r="D20" s="3"/>
      <c r="E20" s="3"/>
      <c r="F20" s="3"/>
      <c r="G20" s="3"/>
      <c r="H20" s="3"/>
      <c r="I20" s="3"/>
      <c r="J20" s="8" t="s">
        <v>104</v>
      </c>
      <c r="K20" s="8" t="s">
        <v>105</v>
      </c>
      <c r="L20" s="3"/>
      <c r="M20" s="3"/>
      <c r="N20" s="3"/>
      <c r="O20" s="3"/>
      <c r="P20" s="3"/>
      <c r="Q20" s="3"/>
      <c r="R20" s="3"/>
    </row>
    <row r="21" spans="1:18" ht="35.25" customHeight="1" x14ac:dyDescent="0.25">
      <c r="A21" s="3"/>
      <c r="B21" s="3"/>
      <c r="C21" s="3"/>
      <c r="D21" s="3"/>
      <c r="E21" s="3"/>
      <c r="F21" s="3"/>
      <c r="G21" s="3"/>
      <c r="H21" s="3"/>
      <c r="I21" s="3"/>
      <c r="J21" s="8" t="s">
        <v>106</v>
      </c>
      <c r="K21" s="8" t="s">
        <v>107</v>
      </c>
      <c r="L21" s="3"/>
      <c r="M21" s="3"/>
      <c r="N21" s="3"/>
      <c r="O21" s="3"/>
      <c r="P21" s="3"/>
      <c r="Q21" s="3"/>
      <c r="R21" s="3"/>
    </row>
    <row r="22" spans="1:18" ht="35.25" customHeight="1" x14ac:dyDescent="0.25">
      <c r="A22" s="3"/>
      <c r="B22" s="3"/>
      <c r="C22" s="3"/>
      <c r="D22" s="3"/>
      <c r="E22" s="3"/>
      <c r="F22" s="3"/>
      <c r="G22" s="3"/>
      <c r="H22" s="3"/>
      <c r="I22" s="3"/>
      <c r="J22" s="8" t="s">
        <v>108</v>
      </c>
      <c r="K22" s="8" t="s">
        <v>109</v>
      </c>
      <c r="L22" s="3"/>
      <c r="M22" s="3"/>
      <c r="N22" s="3"/>
      <c r="O22" s="3"/>
      <c r="P22" s="3"/>
      <c r="Q22" s="3"/>
      <c r="R22" s="3"/>
    </row>
    <row r="23" spans="1:18" ht="35.25" customHeight="1" x14ac:dyDescent="0.25">
      <c r="A23" s="3"/>
      <c r="B23" s="3"/>
      <c r="C23" s="3"/>
      <c r="D23" s="3"/>
      <c r="E23" s="3"/>
      <c r="F23" s="3"/>
      <c r="G23" s="3"/>
      <c r="H23" s="3"/>
      <c r="I23" s="3"/>
      <c r="J23" s="8" t="s">
        <v>110</v>
      </c>
      <c r="K23" s="8" t="s">
        <v>111</v>
      </c>
      <c r="L23" s="3"/>
      <c r="M23" s="3"/>
      <c r="N23" s="3"/>
      <c r="O23" s="3"/>
      <c r="P23" s="3"/>
      <c r="Q23" s="3"/>
      <c r="R23" s="3"/>
    </row>
    <row r="24" spans="1:18" ht="35.25" customHeight="1" x14ac:dyDescent="0.25">
      <c r="A24" s="3"/>
      <c r="B24" s="3"/>
      <c r="C24" s="3"/>
      <c r="D24" s="3"/>
      <c r="E24" s="3"/>
      <c r="F24" s="3"/>
      <c r="G24" s="3"/>
      <c r="H24" s="3"/>
      <c r="I24" s="3"/>
      <c r="J24" s="8" t="s">
        <v>112</v>
      </c>
      <c r="K24" s="8" t="s">
        <v>113</v>
      </c>
      <c r="L24" s="3"/>
      <c r="M24" s="3"/>
      <c r="N24" s="3"/>
      <c r="O24" s="3"/>
      <c r="P24" s="3"/>
      <c r="Q24" s="3"/>
      <c r="R24" s="3"/>
    </row>
    <row r="25" spans="1:18" ht="35.25" customHeight="1" x14ac:dyDescent="0.25">
      <c r="A25" s="3"/>
      <c r="B25" s="3"/>
      <c r="C25" s="3"/>
      <c r="D25" s="3"/>
      <c r="E25" s="3"/>
      <c r="F25" s="3"/>
      <c r="G25" s="3"/>
      <c r="H25" s="3"/>
      <c r="I25" s="3"/>
      <c r="J25" s="8" t="s">
        <v>114</v>
      </c>
      <c r="K25" s="8" t="s">
        <v>115</v>
      </c>
      <c r="L25" s="3"/>
      <c r="M25" s="3"/>
      <c r="N25" s="3"/>
      <c r="O25" s="3"/>
      <c r="P25" s="3"/>
      <c r="Q25" s="3"/>
      <c r="R25" s="3"/>
    </row>
    <row r="26" spans="1:18" ht="35.25" customHeight="1" x14ac:dyDescent="0.25">
      <c r="A26" s="3"/>
      <c r="B26" s="3"/>
      <c r="C26" s="3"/>
      <c r="D26" s="3"/>
      <c r="E26" s="3"/>
      <c r="F26" s="3"/>
      <c r="G26" s="3"/>
      <c r="H26" s="3"/>
      <c r="I26" s="3"/>
      <c r="J26" s="8" t="s">
        <v>116</v>
      </c>
      <c r="K26" s="8" t="s">
        <v>117</v>
      </c>
      <c r="L26" s="3"/>
      <c r="M26" s="3"/>
      <c r="N26" s="3"/>
      <c r="O26" s="3"/>
      <c r="P26" s="3"/>
      <c r="Q26" s="3"/>
      <c r="R26" s="3"/>
    </row>
    <row r="27" spans="1:18" ht="35.25" customHeight="1" x14ac:dyDescent="0.25">
      <c r="A27" s="3"/>
      <c r="B27" s="3"/>
      <c r="C27" s="3"/>
      <c r="D27" s="3"/>
      <c r="E27" s="3"/>
      <c r="F27" s="3"/>
      <c r="G27" s="3"/>
      <c r="H27" s="3"/>
      <c r="I27" s="3"/>
      <c r="J27" s="8" t="s">
        <v>118</v>
      </c>
      <c r="K27" s="8" t="s">
        <v>119</v>
      </c>
      <c r="L27" s="3"/>
      <c r="M27" s="3"/>
      <c r="N27" s="3"/>
      <c r="O27" s="3"/>
      <c r="P27" s="3"/>
      <c r="Q27" s="3"/>
      <c r="R27" s="3"/>
    </row>
    <row r="28" spans="1:18" ht="35.25" customHeight="1" x14ac:dyDescent="0.25">
      <c r="A28" s="3"/>
      <c r="B28" s="3"/>
      <c r="C28" s="3"/>
      <c r="D28" s="3"/>
      <c r="E28" s="3"/>
      <c r="F28" s="3"/>
      <c r="G28" s="3"/>
      <c r="H28" s="3"/>
      <c r="I28" s="3"/>
      <c r="J28" s="8" t="s">
        <v>120</v>
      </c>
      <c r="K28" s="8" t="s">
        <v>121</v>
      </c>
      <c r="L28" s="3"/>
      <c r="M28" s="3"/>
      <c r="N28" s="3"/>
      <c r="O28" s="3"/>
      <c r="P28" s="3"/>
      <c r="Q28" s="3"/>
      <c r="R28" s="3"/>
    </row>
    <row r="29" spans="1:18" ht="35.25" customHeight="1" x14ac:dyDescent="0.25">
      <c r="A29" s="3"/>
      <c r="B29" s="3"/>
      <c r="C29" s="3"/>
      <c r="D29" s="3"/>
      <c r="E29" s="3"/>
      <c r="F29" s="3"/>
      <c r="G29" s="3"/>
      <c r="H29" s="3"/>
      <c r="I29" s="3"/>
      <c r="J29" s="8" t="s">
        <v>122</v>
      </c>
      <c r="K29" s="8" t="s">
        <v>123</v>
      </c>
      <c r="L29" s="3"/>
      <c r="M29" s="3"/>
      <c r="N29" s="3"/>
      <c r="O29" s="3"/>
      <c r="P29" s="3"/>
      <c r="Q29" s="3"/>
      <c r="R29" s="3"/>
    </row>
    <row r="30" spans="1:18" ht="35.25" customHeight="1" x14ac:dyDescent="0.25">
      <c r="A30" s="3"/>
      <c r="B30" s="3"/>
      <c r="C30" s="3"/>
      <c r="D30" s="3"/>
      <c r="E30" s="3"/>
      <c r="F30" s="3"/>
      <c r="G30" s="3"/>
      <c r="H30" s="3"/>
      <c r="I30" s="3"/>
      <c r="J30" s="8" t="s">
        <v>124</v>
      </c>
      <c r="K30" s="8" t="s">
        <v>125</v>
      </c>
      <c r="L30" s="3"/>
      <c r="M30" s="3"/>
      <c r="N30" s="3"/>
      <c r="O30" s="3"/>
      <c r="P30" s="3"/>
      <c r="Q30" s="3"/>
      <c r="R30" s="3"/>
    </row>
    <row r="31" spans="1:18" ht="35.25" customHeight="1" x14ac:dyDescent="0.25">
      <c r="A31" s="3"/>
      <c r="B31" s="3"/>
      <c r="C31" s="3"/>
      <c r="D31" s="3"/>
      <c r="E31" s="3"/>
      <c r="F31" s="3"/>
      <c r="G31" s="3"/>
      <c r="H31" s="3"/>
      <c r="I31" s="3"/>
      <c r="J31" s="8" t="s">
        <v>126</v>
      </c>
      <c r="K31" s="8" t="s">
        <v>127</v>
      </c>
      <c r="L31" s="3"/>
      <c r="M31" s="3"/>
      <c r="N31" s="3"/>
      <c r="O31" s="3"/>
      <c r="P31" s="3"/>
      <c r="Q31" s="3"/>
      <c r="R31" s="3"/>
    </row>
    <row r="32" spans="1:18" ht="35.25" customHeight="1" x14ac:dyDescent="0.25">
      <c r="A32" s="3"/>
      <c r="B32" s="3"/>
      <c r="C32" s="3"/>
      <c r="D32" s="3"/>
      <c r="E32" s="3"/>
      <c r="F32" s="3"/>
      <c r="G32" s="3"/>
      <c r="H32" s="3"/>
      <c r="I32" s="3"/>
      <c r="J32" s="3"/>
      <c r="K32" s="3"/>
      <c r="L32" s="3"/>
      <c r="M32" s="3"/>
      <c r="N32" s="3"/>
      <c r="O32" s="3"/>
      <c r="P32" s="3"/>
      <c r="Q32" s="3"/>
      <c r="R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7"/>
  <sheetViews>
    <sheetView tabSelected="1" view="pageBreakPreview" zoomScale="115" zoomScaleNormal="100" zoomScaleSheetLayoutView="115" workbookViewId="0">
      <selection activeCell="G10" sqref="G10:AD10"/>
    </sheetView>
  </sheetViews>
  <sheetFormatPr defaultColWidth="2.85546875" defaultRowHeight="15" x14ac:dyDescent="0.25"/>
  <cols>
    <col min="1" max="32" width="3" style="1" customWidth="1"/>
    <col min="33" max="16384" width="2.85546875" style="1"/>
  </cols>
  <sheetData>
    <row r="1" spans="1:30" ht="30" customHeight="1" x14ac:dyDescent="0.25">
      <c r="A1" s="164" t="s">
        <v>128</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row>
    <row r="2" spans="1:30" ht="45" customHeight="1" x14ac:dyDescent="0.25">
      <c r="A2" s="151" t="s">
        <v>129</v>
      </c>
      <c r="B2" s="151"/>
      <c r="C2" s="151"/>
      <c r="D2" s="151"/>
      <c r="E2" s="151"/>
      <c r="F2" s="151"/>
      <c r="G2" s="176" t="s">
        <v>130</v>
      </c>
      <c r="H2" s="176"/>
      <c r="I2" s="176"/>
      <c r="J2" s="176"/>
      <c r="K2" s="176"/>
      <c r="L2" s="176"/>
      <c r="M2" s="176"/>
      <c r="N2" s="176"/>
      <c r="O2" s="176"/>
      <c r="P2" s="176"/>
      <c r="Q2" s="176"/>
      <c r="R2" s="176"/>
      <c r="S2" s="176"/>
      <c r="T2" s="176"/>
      <c r="U2" s="176"/>
      <c r="V2" s="176"/>
      <c r="W2" s="176"/>
      <c r="X2" s="176"/>
      <c r="Y2" s="176"/>
      <c r="Z2" s="176"/>
      <c r="AA2" s="176"/>
      <c r="AB2" s="176"/>
      <c r="AC2" s="176"/>
      <c r="AD2" s="176"/>
    </row>
    <row r="3" spans="1:30" ht="1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5">
      <c r="A4" s="167" t="s">
        <v>131</v>
      </c>
      <c r="B4" s="167"/>
      <c r="C4" s="167"/>
      <c r="D4" s="167"/>
      <c r="E4" s="167"/>
      <c r="F4" s="167"/>
      <c r="G4" s="173" t="s">
        <v>132</v>
      </c>
      <c r="H4" s="173"/>
      <c r="I4" s="173"/>
      <c r="J4" s="173"/>
      <c r="K4" s="173"/>
      <c r="L4" s="173"/>
      <c r="M4" s="173"/>
      <c r="N4" s="173"/>
      <c r="O4" s="173"/>
      <c r="P4" s="173"/>
      <c r="Q4" s="173"/>
      <c r="R4" s="173"/>
      <c r="S4" s="173"/>
      <c r="T4" s="173"/>
      <c r="U4" s="173"/>
      <c r="V4" s="173"/>
      <c r="W4" s="173"/>
      <c r="X4" s="173"/>
      <c r="Y4" s="173"/>
      <c r="Z4" s="173"/>
      <c r="AA4" s="173"/>
      <c r="AB4" s="173"/>
      <c r="AC4" s="173"/>
      <c r="AD4" s="173"/>
    </row>
    <row r="5" spans="1:30" x14ac:dyDescent="0.25">
      <c r="A5" s="135" t="s">
        <v>133</v>
      </c>
      <c r="B5" s="135"/>
      <c r="C5" s="135"/>
      <c r="D5" s="135"/>
      <c r="E5" s="135"/>
      <c r="F5" s="135"/>
      <c r="G5" s="171" t="s">
        <v>134</v>
      </c>
      <c r="H5" s="171"/>
      <c r="I5" s="171"/>
      <c r="J5" s="171"/>
      <c r="K5" s="171"/>
      <c r="L5" s="171"/>
      <c r="M5" s="171"/>
      <c r="N5" s="171"/>
      <c r="O5" s="171"/>
      <c r="P5" s="171"/>
      <c r="Q5" s="171"/>
      <c r="R5" s="171"/>
      <c r="S5" s="171"/>
      <c r="T5" s="171"/>
      <c r="U5" s="171"/>
      <c r="V5" s="171"/>
      <c r="W5" s="171"/>
      <c r="X5" s="171"/>
      <c r="Y5" s="171"/>
      <c r="Z5" s="171"/>
      <c r="AA5" s="171"/>
      <c r="AB5" s="171"/>
      <c r="AC5" s="171"/>
      <c r="AD5" s="171"/>
    </row>
    <row r="6" spans="1:30" x14ac:dyDescent="0.25">
      <c r="A6" s="135" t="s">
        <v>135</v>
      </c>
      <c r="B6" s="135"/>
      <c r="C6" s="135"/>
      <c r="D6" s="135"/>
      <c r="E6" s="135"/>
      <c r="F6" s="135"/>
      <c r="G6" s="172" t="s">
        <v>136</v>
      </c>
      <c r="H6" s="172"/>
      <c r="I6" s="172"/>
      <c r="J6" s="172"/>
      <c r="K6" s="172"/>
      <c r="L6" s="172"/>
      <c r="M6" s="172"/>
      <c r="N6" s="172"/>
      <c r="O6" s="172"/>
      <c r="P6" s="172"/>
      <c r="Q6" s="172"/>
      <c r="R6" s="172"/>
      <c r="S6" s="172"/>
      <c r="T6" s="172"/>
      <c r="U6" s="172"/>
      <c r="V6" s="172"/>
      <c r="W6" s="172"/>
      <c r="X6" s="172"/>
      <c r="Y6" s="172"/>
      <c r="Z6" s="172"/>
      <c r="AA6" s="172"/>
      <c r="AB6" s="172"/>
      <c r="AC6" s="172"/>
      <c r="AD6" s="172"/>
    </row>
    <row r="7" spans="1:30" x14ac:dyDescent="0.25">
      <c r="A7" s="168" t="s">
        <v>137</v>
      </c>
      <c r="B7" s="168"/>
      <c r="C7" s="168"/>
      <c r="D7" s="168"/>
      <c r="E7" s="168"/>
      <c r="F7" s="168"/>
      <c r="G7" s="170" t="s">
        <v>138</v>
      </c>
      <c r="H7" s="170"/>
      <c r="I7" s="170"/>
      <c r="J7" s="170"/>
      <c r="K7" s="170"/>
      <c r="L7" s="170"/>
      <c r="M7" s="170"/>
      <c r="N7" s="170"/>
      <c r="O7" s="170"/>
      <c r="P7" s="170"/>
      <c r="Q7" s="170"/>
      <c r="R7" s="170"/>
      <c r="S7" s="170"/>
      <c r="T7" s="170"/>
      <c r="U7" s="170"/>
      <c r="V7" s="170"/>
      <c r="W7" s="170"/>
      <c r="X7" s="170"/>
      <c r="Y7" s="170"/>
      <c r="Z7" s="170"/>
      <c r="AA7" s="170"/>
      <c r="AB7" s="170"/>
      <c r="AC7" s="170"/>
      <c r="AD7" s="170"/>
    </row>
    <row r="8" spans="1:30" x14ac:dyDescent="0.25">
      <c r="A8" s="168" t="s">
        <v>139</v>
      </c>
      <c r="B8" s="168"/>
      <c r="C8" s="168"/>
      <c r="D8" s="168"/>
      <c r="E8" s="168"/>
      <c r="F8" s="168"/>
      <c r="G8" s="174" t="s">
        <v>140</v>
      </c>
      <c r="H8" s="174"/>
      <c r="I8" s="174"/>
      <c r="J8" s="174"/>
      <c r="K8" s="174"/>
      <c r="L8" s="174"/>
      <c r="M8" s="174"/>
      <c r="N8" s="174"/>
      <c r="O8" s="174"/>
      <c r="P8" s="174"/>
      <c r="Q8" s="174"/>
      <c r="R8" s="174"/>
      <c r="S8" s="174"/>
      <c r="T8" s="174"/>
      <c r="U8" s="174"/>
      <c r="V8" s="174"/>
      <c r="W8" s="174"/>
      <c r="X8" s="174"/>
      <c r="Y8" s="174"/>
      <c r="Z8" s="174"/>
      <c r="AA8" s="174"/>
      <c r="AB8" s="174"/>
      <c r="AC8" s="174"/>
      <c r="AD8" s="174"/>
    </row>
    <row r="9" spans="1:30" x14ac:dyDescent="0.25">
      <c r="A9" s="135" t="s">
        <v>141</v>
      </c>
      <c r="B9" s="135"/>
      <c r="C9" s="135"/>
      <c r="D9" s="135"/>
      <c r="E9" s="135"/>
      <c r="F9" s="135"/>
      <c r="G9" s="241" t="s">
        <v>237</v>
      </c>
      <c r="H9" s="170"/>
      <c r="I9" s="170"/>
      <c r="J9" s="170"/>
      <c r="K9" s="170"/>
      <c r="L9" s="170"/>
      <c r="M9" s="170"/>
      <c r="N9" s="170"/>
      <c r="O9" s="170"/>
      <c r="P9" s="170"/>
      <c r="Q9" s="170"/>
      <c r="R9" s="170"/>
      <c r="S9" s="170"/>
      <c r="T9" s="170"/>
      <c r="U9" s="170"/>
      <c r="V9" s="170"/>
      <c r="W9" s="170"/>
      <c r="X9" s="170"/>
      <c r="Y9" s="170"/>
      <c r="Z9" s="170"/>
      <c r="AA9" s="170"/>
      <c r="AB9" s="170"/>
      <c r="AC9" s="170"/>
      <c r="AD9" s="170"/>
    </row>
    <row r="10" spans="1:30" x14ac:dyDescent="0.25">
      <c r="A10" s="165" t="s">
        <v>142</v>
      </c>
      <c r="B10" s="168" t="s">
        <v>143</v>
      </c>
      <c r="C10" s="168"/>
      <c r="D10" s="168"/>
      <c r="E10" s="168"/>
      <c r="F10" s="168"/>
      <c r="G10" s="174" t="s">
        <v>144</v>
      </c>
      <c r="H10" s="174"/>
      <c r="I10" s="174"/>
      <c r="J10" s="174"/>
      <c r="K10" s="174"/>
      <c r="L10" s="174"/>
      <c r="M10" s="174"/>
      <c r="N10" s="174"/>
      <c r="O10" s="174"/>
      <c r="P10" s="174"/>
      <c r="Q10" s="174"/>
      <c r="R10" s="174"/>
      <c r="S10" s="174"/>
      <c r="T10" s="174"/>
      <c r="U10" s="174"/>
      <c r="V10" s="174"/>
      <c r="W10" s="174"/>
      <c r="X10" s="174"/>
      <c r="Y10" s="174"/>
      <c r="Z10" s="174"/>
      <c r="AA10" s="174"/>
      <c r="AB10" s="174"/>
      <c r="AC10" s="174"/>
      <c r="AD10" s="174"/>
    </row>
    <row r="11" spans="1:30" x14ac:dyDescent="0.25">
      <c r="A11" s="165"/>
      <c r="B11" s="168" t="s">
        <v>145</v>
      </c>
      <c r="C11" s="168"/>
      <c r="D11" s="168"/>
      <c r="E11" s="168"/>
      <c r="F11" s="168"/>
      <c r="G11" s="170" t="s">
        <v>146</v>
      </c>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row>
    <row r="12" spans="1:30" x14ac:dyDescent="0.25">
      <c r="A12" s="165"/>
      <c r="B12" s="168" t="s">
        <v>147</v>
      </c>
      <c r="C12" s="168"/>
      <c r="D12" s="168"/>
      <c r="E12" s="168"/>
      <c r="F12" s="168"/>
      <c r="G12" s="174" t="s">
        <v>148</v>
      </c>
      <c r="H12" s="174"/>
      <c r="I12" s="174"/>
      <c r="J12" s="174"/>
      <c r="K12" s="174"/>
      <c r="L12" s="174"/>
      <c r="M12" s="174"/>
      <c r="N12" s="174"/>
      <c r="O12" s="174"/>
      <c r="P12" s="174"/>
      <c r="Q12" s="174"/>
      <c r="R12" s="174"/>
      <c r="S12" s="174"/>
      <c r="T12" s="174"/>
      <c r="U12" s="174"/>
      <c r="V12" s="174"/>
      <c r="W12" s="174"/>
      <c r="X12" s="174"/>
      <c r="Y12" s="174"/>
      <c r="Z12" s="174"/>
      <c r="AA12" s="174"/>
      <c r="AB12" s="174"/>
      <c r="AC12" s="174"/>
      <c r="AD12" s="174"/>
    </row>
    <row r="13" spans="1:30" x14ac:dyDescent="0.25">
      <c r="A13" s="166"/>
      <c r="B13" s="169" t="s">
        <v>149</v>
      </c>
      <c r="C13" s="169"/>
      <c r="D13" s="169"/>
      <c r="E13" s="169"/>
      <c r="F13" s="169"/>
      <c r="G13" s="175" t="s">
        <v>150</v>
      </c>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row>
    <row r="15" spans="1:30" ht="99.75" customHeight="1" x14ac:dyDescent="0.25">
      <c r="A15" s="132" t="s">
        <v>151</v>
      </c>
      <c r="B15" s="133"/>
      <c r="C15" s="133"/>
      <c r="D15" s="133"/>
      <c r="E15" s="133"/>
      <c r="F15" s="134"/>
      <c r="G15" s="130" t="s">
        <v>152</v>
      </c>
      <c r="H15" s="130"/>
      <c r="I15" s="130"/>
      <c r="J15" s="130"/>
      <c r="K15" s="130"/>
      <c r="L15" s="130"/>
      <c r="M15" s="130"/>
      <c r="N15" s="130"/>
      <c r="O15" s="130"/>
      <c r="P15" s="130"/>
      <c r="Q15" s="130"/>
      <c r="R15" s="130"/>
      <c r="S15" s="130"/>
      <c r="T15" s="130"/>
      <c r="U15" s="130"/>
      <c r="V15" s="130"/>
      <c r="W15" s="130"/>
      <c r="X15" s="130"/>
      <c r="Y15" s="130"/>
      <c r="Z15" s="130"/>
      <c r="AA15" s="130"/>
      <c r="AB15" s="130"/>
      <c r="AC15" s="130"/>
      <c r="AD15" s="131"/>
    </row>
    <row r="17" spans="1:30" x14ac:dyDescent="0.25">
      <c r="A17" s="159" t="s">
        <v>153</v>
      </c>
      <c r="B17" s="159"/>
      <c r="C17" s="159"/>
      <c r="D17" s="159"/>
      <c r="E17" s="159"/>
      <c r="F17" s="159"/>
      <c r="G17" s="150" t="s">
        <v>154</v>
      </c>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row>
    <row r="18" spans="1:30" ht="37.5" customHeight="1" x14ac:dyDescent="0.25">
      <c r="A18" s="104" t="s">
        <v>155</v>
      </c>
      <c r="B18" s="104"/>
      <c r="C18" s="104"/>
      <c r="D18" s="104"/>
      <c r="E18" s="104"/>
      <c r="F18" s="104"/>
      <c r="G18" s="153" t="s">
        <v>156</v>
      </c>
      <c r="H18" s="153"/>
      <c r="I18" s="153"/>
      <c r="J18" s="153"/>
      <c r="K18" s="153"/>
      <c r="L18" s="153"/>
      <c r="M18" s="153"/>
      <c r="N18" s="153"/>
      <c r="O18" s="153"/>
      <c r="P18" s="153"/>
      <c r="Q18" s="153"/>
      <c r="R18" s="153"/>
      <c r="S18" s="153"/>
      <c r="T18" s="153"/>
      <c r="U18" s="153"/>
      <c r="V18" s="153"/>
      <c r="W18" s="153"/>
      <c r="X18" s="153"/>
      <c r="Y18" s="153"/>
      <c r="Z18" s="153"/>
      <c r="AA18" s="153"/>
      <c r="AB18" s="153"/>
      <c r="AC18" s="153"/>
      <c r="AD18" s="153"/>
    </row>
    <row r="19" spans="1:30" x14ac:dyDescent="0.25">
      <c r="A19" s="135" t="s">
        <v>157</v>
      </c>
      <c r="B19" s="135"/>
      <c r="C19" s="135"/>
      <c r="D19" s="135"/>
      <c r="E19" s="135"/>
      <c r="F19" s="135"/>
      <c r="G19" s="154" t="s">
        <v>158</v>
      </c>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row>
    <row r="20" spans="1:30" x14ac:dyDescent="0.25">
      <c r="A20" s="135" t="s">
        <v>159</v>
      </c>
      <c r="B20" s="135"/>
      <c r="C20" s="135"/>
      <c r="D20" s="135"/>
      <c r="E20" s="135"/>
      <c r="F20" s="135"/>
      <c r="G20" s="153" t="s">
        <v>160</v>
      </c>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row>
    <row r="21" spans="1:30" x14ac:dyDescent="0.25">
      <c r="A21" s="135" t="s">
        <v>161</v>
      </c>
      <c r="B21" s="135"/>
      <c r="C21" s="135"/>
      <c r="D21" s="135"/>
      <c r="E21" s="135"/>
      <c r="F21" s="135"/>
      <c r="G21" s="155" t="s">
        <v>236</v>
      </c>
      <c r="H21" s="154"/>
      <c r="I21" s="154"/>
      <c r="J21" s="154"/>
      <c r="K21" s="154"/>
      <c r="L21" s="154"/>
      <c r="M21" s="154"/>
      <c r="N21" s="154"/>
      <c r="O21" s="154"/>
      <c r="P21" s="154"/>
      <c r="Q21" s="154"/>
      <c r="R21" s="154"/>
      <c r="S21" s="154"/>
      <c r="T21" s="154"/>
      <c r="U21" s="154"/>
      <c r="V21" s="154"/>
      <c r="W21" s="154"/>
      <c r="X21" s="154"/>
      <c r="Y21" s="154"/>
      <c r="Z21" s="154"/>
      <c r="AA21" s="154"/>
      <c r="AB21" s="154"/>
      <c r="AC21" s="154"/>
      <c r="AD21" s="154"/>
    </row>
    <row r="22" spans="1:30" ht="15" customHeight="1" x14ac:dyDescent="0.25">
      <c r="A22" s="136" t="s">
        <v>162</v>
      </c>
      <c r="B22" s="138" t="s">
        <v>234</v>
      </c>
      <c r="C22" s="138"/>
      <c r="D22" s="138"/>
      <c r="E22" s="138"/>
      <c r="F22" s="139"/>
      <c r="G22" s="147" t="str">
        <f>IF(COUNTIF($Z$36:$Z$40,"Create")&gt;0,"Create",IF(COUNTIF($Z$36:$Z$40,"Evaluate")&gt;0,"Evaluate",IF(COUNTIF($Z$36:$Z$40,"Analyze")&gt;0,"Analyze",IF(COUNTIF($Z$36:$Z$40,"Apply")&gt;0,"Apply",IF(COUNTIF($Z$36:$Z$40,"Understand")&gt;0,"Understand",IF(COUNTIF($Z$36:$Z$40,"Remember")&gt;0,"Remember",""))))))</f>
        <v>Understand</v>
      </c>
      <c r="H22" s="148"/>
      <c r="I22" s="148"/>
      <c r="J22" s="148"/>
      <c r="K22" s="148"/>
      <c r="L22" s="148"/>
      <c r="M22" s="148"/>
      <c r="N22" s="148"/>
      <c r="O22" s="148"/>
      <c r="P22" s="148"/>
      <c r="Q22" s="148"/>
      <c r="R22" s="148"/>
      <c r="S22" s="148"/>
      <c r="T22" s="148"/>
      <c r="U22" s="148"/>
      <c r="V22" s="148"/>
      <c r="W22" s="148"/>
      <c r="X22" s="148"/>
      <c r="Y22" s="148"/>
      <c r="Z22" s="148"/>
      <c r="AA22" s="148"/>
      <c r="AB22" s="148"/>
      <c r="AC22" s="148"/>
      <c r="AD22" s="149"/>
    </row>
    <row r="23" spans="1:30" ht="67.5" customHeight="1" x14ac:dyDescent="0.25">
      <c r="A23" s="137"/>
      <c r="B23" s="140" t="s">
        <v>235</v>
      </c>
      <c r="C23" s="140"/>
      <c r="D23" s="140"/>
      <c r="E23" s="140"/>
      <c r="F23" s="141"/>
      <c r="G23" s="156" t="s">
        <v>163</v>
      </c>
      <c r="H23" s="157"/>
      <c r="I23" s="157"/>
      <c r="J23" s="157"/>
      <c r="K23" s="157"/>
      <c r="L23" s="157"/>
      <c r="M23" s="157"/>
      <c r="N23" s="157"/>
      <c r="O23" s="157"/>
      <c r="P23" s="157"/>
      <c r="Q23" s="157"/>
      <c r="R23" s="157"/>
      <c r="S23" s="157"/>
      <c r="T23" s="157"/>
      <c r="U23" s="157"/>
      <c r="V23" s="157"/>
      <c r="W23" s="157"/>
      <c r="X23" s="157"/>
      <c r="Y23" s="157"/>
      <c r="Z23" s="157"/>
      <c r="AA23" s="157"/>
      <c r="AB23" s="157"/>
      <c r="AC23" s="157"/>
      <c r="AD23" s="158"/>
    </row>
    <row r="25" spans="1:30" ht="112.5" customHeight="1" x14ac:dyDescent="0.25">
      <c r="A25" s="151" t="s">
        <v>164</v>
      </c>
      <c r="B25" s="151"/>
      <c r="C25" s="151"/>
      <c r="D25" s="151"/>
      <c r="E25" s="151"/>
      <c r="F25" s="151"/>
      <c r="G25" s="152" t="s">
        <v>165</v>
      </c>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row>
    <row r="27" spans="1:30" x14ac:dyDescent="0.25">
      <c r="A27" s="100" t="s">
        <v>166</v>
      </c>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2"/>
    </row>
    <row r="28" spans="1:30" ht="52.5" customHeight="1" x14ac:dyDescent="0.25">
      <c r="A28" s="143" t="s">
        <v>20</v>
      </c>
      <c r="B28" s="144"/>
      <c r="C28" s="144"/>
      <c r="D28" s="144"/>
      <c r="E28" s="144"/>
      <c r="F28" s="144"/>
      <c r="G28" s="98" t="s">
        <v>167</v>
      </c>
      <c r="H28" s="98"/>
      <c r="I28" s="98"/>
      <c r="J28" s="98"/>
      <c r="K28" s="98"/>
      <c r="L28" s="98"/>
      <c r="M28" s="98"/>
      <c r="N28" s="98"/>
      <c r="O28" s="98"/>
      <c r="P28" s="98"/>
      <c r="Q28" s="98"/>
      <c r="R28" s="98"/>
      <c r="S28" s="98"/>
      <c r="T28" s="98"/>
      <c r="U28" s="98"/>
      <c r="V28" s="98"/>
      <c r="W28" s="98"/>
      <c r="X28" s="98"/>
      <c r="Y28" s="98"/>
      <c r="Z28" s="98"/>
      <c r="AA28" s="98"/>
      <c r="AB28" s="98"/>
      <c r="AC28" s="98"/>
      <c r="AD28" s="99"/>
    </row>
    <row r="29" spans="1:30" ht="52.5" customHeight="1" x14ac:dyDescent="0.25">
      <c r="A29" s="145" t="s">
        <v>31</v>
      </c>
      <c r="B29" s="146"/>
      <c r="C29" s="146"/>
      <c r="D29" s="146"/>
      <c r="E29" s="146"/>
      <c r="F29" s="146"/>
      <c r="G29" s="142"/>
      <c r="H29" s="86"/>
      <c r="I29" s="86"/>
      <c r="J29" s="86"/>
      <c r="K29" s="86"/>
      <c r="L29" s="86"/>
      <c r="M29" s="86"/>
      <c r="N29" s="86"/>
      <c r="O29" s="86"/>
      <c r="P29" s="86"/>
      <c r="Q29" s="86"/>
      <c r="R29" s="86"/>
      <c r="S29" s="86"/>
      <c r="T29" s="86"/>
      <c r="U29" s="86"/>
      <c r="V29" s="86"/>
      <c r="W29" s="86"/>
      <c r="X29" s="86"/>
      <c r="Y29" s="86"/>
      <c r="Z29" s="86"/>
      <c r="AA29" s="86"/>
      <c r="AB29" s="86"/>
      <c r="AC29" s="86"/>
      <c r="AD29" s="87"/>
    </row>
    <row r="30" spans="1:30" ht="52.5" customHeight="1" x14ac:dyDescent="0.25">
      <c r="A30" s="145" t="s">
        <v>42</v>
      </c>
      <c r="B30" s="146"/>
      <c r="C30" s="146"/>
      <c r="D30" s="146"/>
      <c r="E30" s="146"/>
      <c r="F30" s="146"/>
      <c r="G30" s="160"/>
      <c r="H30" s="89"/>
      <c r="I30" s="89"/>
      <c r="J30" s="89"/>
      <c r="K30" s="89"/>
      <c r="L30" s="89"/>
      <c r="M30" s="89"/>
      <c r="N30" s="89"/>
      <c r="O30" s="89"/>
      <c r="P30" s="89"/>
      <c r="Q30" s="89"/>
      <c r="R30" s="89"/>
      <c r="S30" s="89"/>
      <c r="T30" s="89"/>
      <c r="U30" s="89"/>
      <c r="V30" s="89"/>
      <c r="W30" s="89"/>
      <c r="X30" s="89"/>
      <c r="Y30" s="89"/>
      <c r="Z30" s="89"/>
      <c r="AA30" s="89"/>
      <c r="AB30" s="89"/>
      <c r="AC30" s="89"/>
      <c r="AD30" s="90"/>
    </row>
    <row r="31" spans="1:30" ht="52.5" customHeight="1" x14ac:dyDescent="0.25">
      <c r="A31" s="145" t="s">
        <v>53</v>
      </c>
      <c r="B31" s="146"/>
      <c r="C31" s="146"/>
      <c r="D31" s="146"/>
      <c r="E31" s="146"/>
      <c r="F31" s="146"/>
      <c r="G31" s="142"/>
      <c r="H31" s="86"/>
      <c r="I31" s="86"/>
      <c r="J31" s="86"/>
      <c r="K31" s="86"/>
      <c r="L31" s="86"/>
      <c r="M31" s="86"/>
      <c r="N31" s="86"/>
      <c r="O31" s="86"/>
      <c r="P31" s="86"/>
      <c r="Q31" s="86"/>
      <c r="R31" s="86"/>
      <c r="S31" s="86"/>
      <c r="T31" s="86"/>
      <c r="U31" s="86"/>
      <c r="V31" s="86"/>
      <c r="W31" s="86"/>
      <c r="X31" s="86"/>
      <c r="Y31" s="86"/>
      <c r="Z31" s="86"/>
      <c r="AA31" s="86"/>
      <c r="AB31" s="86"/>
      <c r="AC31" s="86"/>
      <c r="AD31" s="87"/>
    </row>
    <row r="32" spans="1:30" ht="52.5" customHeight="1" x14ac:dyDescent="0.25">
      <c r="A32" s="161" t="s">
        <v>64</v>
      </c>
      <c r="B32" s="162"/>
      <c r="C32" s="162"/>
      <c r="D32" s="162"/>
      <c r="E32" s="162"/>
      <c r="F32" s="162"/>
      <c r="G32" s="163"/>
      <c r="H32" s="92"/>
      <c r="I32" s="92"/>
      <c r="J32" s="92"/>
      <c r="K32" s="92"/>
      <c r="L32" s="92"/>
      <c r="M32" s="92"/>
      <c r="N32" s="92"/>
      <c r="O32" s="92"/>
      <c r="P32" s="92"/>
      <c r="Q32" s="92"/>
      <c r="R32" s="92"/>
      <c r="S32" s="92"/>
      <c r="T32" s="92"/>
      <c r="U32" s="92"/>
      <c r="V32" s="92"/>
      <c r="W32" s="92"/>
      <c r="X32" s="92"/>
      <c r="Y32" s="92"/>
      <c r="Z32" s="92"/>
      <c r="AA32" s="92"/>
      <c r="AB32" s="92"/>
      <c r="AC32" s="92"/>
      <c r="AD32" s="93"/>
    </row>
    <row r="34" spans="1:30" x14ac:dyDescent="0.25">
      <c r="A34" s="100" t="s">
        <v>168</v>
      </c>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2"/>
    </row>
    <row r="35" spans="1:30" x14ac:dyDescent="0.25">
      <c r="A35" s="129" t="s">
        <v>169</v>
      </c>
      <c r="B35" s="125"/>
      <c r="C35" s="125"/>
      <c r="D35" s="125" t="s">
        <v>170</v>
      </c>
      <c r="E35" s="125"/>
      <c r="F35" s="125"/>
      <c r="G35" s="125"/>
      <c r="H35" s="125" t="s">
        <v>171</v>
      </c>
      <c r="I35" s="125"/>
      <c r="J35" s="125"/>
      <c r="K35" s="125"/>
      <c r="L35" s="125"/>
      <c r="M35" s="125"/>
      <c r="N35" s="125" t="s">
        <v>172</v>
      </c>
      <c r="O35" s="125"/>
      <c r="P35" s="125"/>
      <c r="Q35" s="125"/>
      <c r="R35" s="125"/>
      <c r="S35" s="125"/>
      <c r="T35" s="125" t="s">
        <v>173</v>
      </c>
      <c r="U35" s="125"/>
      <c r="V35" s="125"/>
      <c r="W35" s="125"/>
      <c r="X35" s="125"/>
      <c r="Y35" s="125"/>
      <c r="Z35" s="125" t="s">
        <v>174</v>
      </c>
      <c r="AA35" s="125"/>
      <c r="AB35" s="125"/>
      <c r="AC35" s="125"/>
      <c r="AD35" s="126"/>
    </row>
    <row r="36" spans="1:30" x14ac:dyDescent="0.25">
      <c r="A36" s="127" t="s">
        <v>23</v>
      </c>
      <c r="B36" s="122"/>
      <c r="C36" s="122"/>
      <c r="D36" s="122" t="s">
        <v>20</v>
      </c>
      <c r="E36" s="122"/>
      <c r="F36" s="122"/>
      <c r="G36" s="122"/>
      <c r="H36" s="128" t="s">
        <v>70</v>
      </c>
      <c r="I36" s="122"/>
      <c r="J36" s="122"/>
      <c r="K36" s="122"/>
      <c r="L36" s="122"/>
      <c r="M36" s="122"/>
      <c r="N36" s="122" t="s">
        <v>15</v>
      </c>
      <c r="O36" s="122"/>
      <c r="P36" s="122"/>
      <c r="Q36" s="122"/>
      <c r="R36" s="122"/>
      <c r="S36" s="122"/>
      <c r="T36" s="122" t="s">
        <v>29</v>
      </c>
      <c r="U36" s="122"/>
      <c r="V36" s="122"/>
      <c r="W36" s="122"/>
      <c r="X36" s="122"/>
      <c r="Y36" s="122"/>
      <c r="Z36" s="122" t="s">
        <v>13</v>
      </c>
      <c r="AA36" s="123"/>
      <c r="AB36" s="123"/>
      <c r="AC36" s="123"/>
      <c r="AD36" s="124"/>
    </row>
    <row r="37" spans="1:30" x14ac:dyDescent="0.25">
      <c r="A37" s="113" t="s">
        <v>34</v>
      </c>
      <c r="B37" s="114"/>
      <c r="C37" s="114"/>
      <c r="D37" s="114" t="s">
        <v>20</v>
      </c>
      <c r="E37" s="114"/>
      <c r="F37" s="114"/>
      <c r="G37" s="114"/>
      <c r="H37" s="114" t="s">
        <v>70</v>
      </c>
      <c r="I37" s="114"/>
      <c r="J37" s="114"/>
      <c r="K37" s="114"/>
      <c r="L37" s="114"/>
      <c r="M37" s="114"/>
      <c r="N37" s="114" t="s">
        <v>15</v>
      </c>
      <c r="O37" s="114"/>
      <c r="P37" s="114"/>
      <c r="Q37" s="114"/>
      <c r="R37" s="114"/>
      <c r="S37" s="114"/>
      <c r="T37" s="114" t="s">
        <v>29</v>
      </c>
      <c r="U37" s="114"/>
      <c r="V37" s="114"/>
      <c r="W37" s="114"/>
      <c r="X37" s="114"/>
      <c r="Y37" s="114"/>
      <c r="Z37" s="114" t="s">
        <v>24</v>
      </c>
      <c r="AA37" s="115"/>
      <c r="AB37" s="115"/>
      <c r="AC37" s="115"/>
      <c r="AD37" s="116"/>
    </row>
    <row r="38" spans="1:30" x14ac:dyDescent="0.25">
      <c r="A38" s="121"/>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9"/>
      <c r="AB38" s="119"/>
      <c r="AC38" s="119"/>
      <c r="AD38" s="120"/>
    </row>
    <row r="39" spans="1:30" x14ac:dyDescent="0.25">
      <c r="A39" s="113"/>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5"/>
      <c r="AB39" s="115"/>
      <c r="AC39" s="115"/>
      <c r="AD39" s="116"/>
    </row>
    <row r="40" spans="1:30" x14ac:dyDescent="0.25">
      <c r="A40" s="117"/>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1"/>
      <c r="AB40" s="111"/>
      <c r="AC40" s="111"/>
      <c r="AD40" s="112"/>
    </row>
    <row r="42" spans="1:30" x14ac:dyDescent="0.25">
      <c r="A42" s="100" t="s">
        <v>175</v>
      </c>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2"/>
    </row>
    <row r="43" spans="1:30" ht="75" customHeight="1" x14ac:dyDescent="0.25">
      <c r="A43" s="103" t="s">
        <v>176</v>
      </c>
      <c r="B43" s="103"/>
      <c r="C43" s="103"/>
      <c r="D43" s="103"/>
      <c r="E43" s="103"/>
      <c r="F43" s="103"/>
      <c r="G43" s="97" t="s">
        <v>177</v>
      </c>
      <c r="H43" s="98"/>
      <c r="I43" s="98"/>
      <c r="J43" s="98"/>
      <c r="K43" s="98"/>
      <c r="L43" s="98"/>
      <c r="M43" s="98"/>
      <c r="N43" s="98"/>
      <c r="O43" s="98"/>
      <c r="P43" s="98"/>
      <c r="Q43" s="98"/>
      <c r="R43" s="98"/>
      <c r="S43" s="98"/>
      <c r="T43" s="98"/>
      <c r="U43" s="98"/>
      <c r="V43" s="98"/>
      <c r="W43" s="98"/>
      <c r="X43" s="98"/>
      <c r="Y43" s="98"/>
      <c r="Z43" s="98"/>
      <c r="AA43" s="98"/>
      <c r="AB43" s="98"/>
      <c r="AC43" s="98"/>
      <c r="AD43" s="99"/>
    </row>
    <row r="44" spans="1:30" ht="75" customHeight="1" x14ac:dyDescent="0.25">
      <c r="A44" s="104" t="s">
        <v>178</v>
      </c>
      <c r="B44" s="104"/>
      <c r="C44" s="104"/>
      <c r="D44" s="104"/>
      <c r="E44" s="104"/>
      <c r="F44" s="104"/>
      <c r="G44" s="85" t="s">
        <v>179</v>
      </c>
      <c r="H44" s="86"/>
      <c r="I44" s="86"/>
      <c r="J44" s="86"/>
      <c r="K44" s="86"/>
      <c r="L44" s="86"/>
      <c r="M44" s="86"/>
      <c r="N44" s="86"/>
      <c r="O44" s="86"/>
      <c r="P44" s="86"/>
      <c r="Q44" s="86"/>
      <c r="R44" s="86"/>
      <c r="S44" s="86"/>
      <c r="T44" s="86"/>
      <c r="U44" s="86"/>
      <c r="V44" s="86"/>
      <c r="W44" s="86"/>
      <c r="X44" s="86"/>
      <c r="Y44" s="86"/>
      <c r="Z44" s="86"/>
      <c r="AA44" s="86"/>
      <c r="AB44" s="86"/>
      <c r="AC44" s="86"/>
      <c r="AD44" s="87"/>
    </row>
    <row r="45" spans="1:30" ht="75" customHeight="1" x14ac:dyDescent="0.25">
      <c r="A45" s="104" t="s">
        <v>180</v>
      </c>
      <c r="B45" s="104"/>
      <c r="C45" s="104"/>
      <c r="D45" s="104"/>
      <c r="E45" s="104"/>
      <c r="F45" s="104"/>
      <c r="G45" s="106" t="s">
        <v>181</v>
      </c>
      <c r="H45" s="89"/>
      <c r="I45" s="89"/>
      <c r="J45" s="89"/>
      <c r="K45" s="89"/>
      <c r="L45" s="89"/>
      <c r="M45" s="89"/>
      <c r="N45" s="89"/>
      <c r="O45" s="89"/>
      <c r="P45" s="89"/>
      <c r="Q45" s="89"/>
      <c r="R45" s="89"/>
      <c r="S45" s="89"/>
      <c r="T45" s="89"/>
      <c r="U45" s="89"/>
      <c r="V45" s="89"/>
      <c r="W45" s="89"/>
      <c r="X45" s="89"/>
      <c r="Y45" s="89"/>
      <c r="Z45" s="89"/>
      <c r="AA45" s="89"/>
      <c r="AB45" s="89"/>
      <c r="AC45" s="89"/>
      <c r="AD45" s="90"/>
    </row>
    <row r="46" spans="1:30" ht="75" customHeight="1" x14ac:dyDescent="0.25">
      <c r="A46" s="105" t="s">
        <v>182</v>
      </c>
      <c r="B46" s="105"/>
      <c r="C46" s="105"/>
      <c r="D46" s="105"/>
      <c r="E46" s="105"/>
      <c r="F46" s="105"/>
      <c r="G46" s="107" t="s">
        <v>183</v>
      </c>
      <c r="H46" s="108"/>
      <c r="I46" s="108"/>
      <c r="J46" s="108"/>
      <c r="K46" s="108"/>
      <c r="L46" s="108"/>
      <c r="M46" s="108"/>
      <c r="N46" s="108"/>
      <c r="O46" s="108"/>
      <c r="P46" s="108"/>
      <c r="Q46" s="108"/>
      <c r="R46" s="108"/>
      <c r="S46" s="108"/>
      <c r="T46" s="108"/>
      <c r="U46" s="108"/>
      <c r="V46" s="108"/>
      <c r="W46" s="108"/>
      <c r="X46" s="108"/>
      <c r="Y46" s="108"/>
      <c r="Z46" s="108"/>
      <c r="AA46" s="108"/>
      <c r="AB46" s="108"/>
      <c r="AC46" s="108"/>
      <c r="AD46" s="109"/>
    </row>
    <row r="47" spans="1:30" ht="15" customHeight="1" x14ac:dyDescent="0.25"/>
    <row r="48" spans="1:30" x14ac:dyDescent="0.25">
      <c r="A48" s="100" t="s">
        <v>184</v>
      </c>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2"/>
    </row>
    <row r="49" spans="1:30" ht="75" customHeight="1" x14ac:dyDescent="0.25">
      <c r="A49" s="94" t="s">
        <v>176</v>
      </c>
      <c r="B49" s="94"/>
      <c r="C49" s="94"/>
      <c r="D49" s="94"/>
      <c r="E49" s="94"/>
      <c r="F49" s="94"/>
      <c r="G49" s="97" t="s">
        <v>185</v>
      </c>
      <c r="H49" s="98"/>
      <c r="I49" s="98"/>
      <c r="J49" s="98"/>
      <c r="K49" s="98"/>
      <c r="L49" s="98"/>
      <c r="M49" s="98"/>
      <c r="N49" s="98"/>
      <c r="O49" s="98"/>
      <c r="P49" s="98"/>
      <c r="Q49" s="98"/>
      <c r="R49" s="98"/>
      <c r="S49" s="98"/>
      <c r="T49" s="98"/>
      <c r="U49" s="98"/>
      <c r="V49" s="98"/>
      <c r="W49" s="98"/>
      <c r="X49" s="98"/>
      <c r="Y49" s="98"/>
      <c r="Z49" s="98"/>
      <c r="AA49" s="98"/>
      <c r="AB49" s="98"/>
      <c r="AC49" s="98"/>
      <c r="AD49" s="99"/>
    </row>
    <row r="50" spans="1:30" ht="75" customHeight="1" x14ac:dyDescent="0.25">
      <c r="A50" s="95" t="s">
        <v>186</v>
      </c>
      <c r="B50" s="95"/>
      <c r="C50" s="95"/>
      <c r="D50" s="95"/>
      <c r="E50" s="95"/>
      <c r="F50" s="95"/>
      <c r="G50" s="85" t="s">
        <v>187</v>
      </c>
      <c r="H50" s="86"/>
      <c r="I50" s="86"/>
      <c r="J50" s="86"/>
      <c r="K50" s="86"/>
      <c r="L50" s="86"/>
      <c r="M50" s="86"/>
      <c r="N50" s="86"/>
      <c r="O50" s="86"/>
      <c r="P50" s="86"/>
      <c r="Q50" s="86"/>
      <c r="R50" s="86"/>
      <c r="S50" s="86"/>
      <c r="T50" s="86"/>
      <c r="U50" s="86"/>
      <c r="V50" s="86"/>
      <c r="W50" s="86"/>
      <c r="X50" s="86"/>
      <c r="Y50" s="86"/>
      <c r="Z50" s="86"/>
      <c r="AA50" s="86"/>
      <c r="AB50" s="86"/>
      <c r="AC50" s="86"/>
      <c r="AD50" s="87"/>
    </row>
    <row r="51" spans="1:30" ht="75" customHeight="1" x14ac:dyDescent="0.25">
      <c r="A51" s="95" t="s">
        <v>188</v>
      </c>
      <c r="B51" s="95"/>
      <c r="C51" s="95"/>
      <c r="D51" s="95"/>
      <c r="E51" s="95"/>
      <c r="F51" s="95"/>
      <c r="G51" s="88" t="s">
        <v>189</v>
      </c>
      <c r="H51" s="89"/>
      <c r="I51" s="89"/>
      <c r="J51" s="89"/>
      <c r="K51" s="89"/>
      <c r="L51" s="89"/>
      <c r="M51" s="89"/>
      <c r="N51" s="89"/>
      <c r="O51" s="89"/>
      <c r="P51" s="89"/>
      <c r="Q51" s="89"/>
      <c r="R51" s="89"/>
      <c r="S51" s="89"/>
      <c r="T51" s="89"/>
      <c r="U51" s="89"/>
      <c r="V51" s="89"/>
      <c r="W51" s="89"/>
      <c r="X51" s="89"/>
      <c r="Y51" s="89"/>
      <c r="Z51" s="89"/>
      <c r="AA51" s="89"/>
      <c r="AB51" s="89"/>
      <c r="AC51" s="89"/>
      <c r="AD51" s="90"/>
    </row>
    <row r="52" spans="1:30" ht="75" customHeight="1" x14ac:dyDescent="0.25">
      <c r="A52" s="95" t="s">
        <v>190</v>
      </c>
      <c r="B52" s="95"/>
      <c r="C52" s="95"/>
      <c r="D52" s="95"/>
      <c r="E52" s="95"/>
      <c r="F52" s="95"/>
      <c r="G52" s="85" t="s">
        <v>191</v>
      </c>
      <c r="H52" s="86"/>
      <c r="I52" s="86"/>
      <c r="J52" s="86"/>
      <c r="K52" s="86"/>
      <c r="L52" s="86"/>
      <c r="M52" s="86"/>
      <c r="N52" s="86"/>
      <c r="O52" s="86"/>
      <c r="P52" s="86"/>
      <c r="Q52" s="86"/>
      <c r="R52" s="86"/>
      <c r="S52" s="86"/>
      <c r="T52" s="86"/>
      <c r="U52" s="86"/>
      <c r="V52" s="86"/>
      <c r="W52" s="86"/>
      <c r="X52" s="86"/>
      <c r="Y52" s="86"/>
      <c r="Z52" s="86"/>
      <c r="AA52" s="86"/>
      <c r="AB52" s="86"/>
      <c r="AC52" s="86"/>
      <c r="AD52" s="87"/>
    </row>
    <row r="53" spans="1:30" ht="75" customHeight="1" x14ac:dyDescent="0.25">
      <c r="A53" s="96" t="s">
        <v>192</v>
      </c>
      <c r="B53" s="96"/>
      <c r="C53" s="96"/>
      <c r="D53" s="96"/>
      <c r="E53" s="96"/>
      <c r="F53" s="96"/>
      <c r="G53" s="91" t="s">
        <v>193</v>
      </c>
      <c r="H53" s="92"/>
      <c r="I53" s="92"/>
      <c r="J53" s="92"/>
      <c r="K53" s="92"/>
      <c r="L53" s="92"/>
      <c r="M53" s="92"/>
      <c r="N53" s="92"/>
      <c r="O53" s="92"/>
      <c r="P53" s="92"/>
      <c r="Q53" s="92"/>
      <c r="R53" s="92"/>
      <c r="S53" s="92"/>
      <c r="T53" s="92"/>
      <c r="U53" s="92"/>
      <c r="V53" s="92"/>
      <c r="W53" s="92"/>
      <c r="X53" s="92"/>
      <c r="Y53" s="92"/>
      <c r="Z53" s="92"/>
      <c r="AA53" s="92"/>
      <c r="AB53" s="92"/>
      <c r="AC53" s="92"/>
      <c r="AD53" s="93"/>
    </row>
    <row r="54" spans="1:30" ht="75" customHeight="1" x14ac:dyDescent="0.25"/>
    <row r="55" spans="1:30" ht="75" customHeight="1" x14ac:dyDescent="0.25"/>
    <row r="56" spans="1:30" ht="75" customHeight="1" x14ac:dyDescent="0.25"/>
    <row r="57" spans="1:30" ht="75" customHeight="1" x14ac:dyDescent="0.25"/>
  </sheetData>
  <mergeCells count="111">
    <mergeCell ref="A1:AD1"/>
    <mergeCell ref="A10:A13"/>
    <mergeCell ref="A4:F4"/>
    <mergeCell ref="A7:F7"/>
    <mergeCell ref="B10:F10"/>
    <mergeCell ref="B11:F11"/>
    <mergeCell ref="B12:F12"/>
    <mergeCell ref="B13:F13"/>
    <mergeCell ref="A2:F2"/>
    <mergeCell ref="A9:F9"/>
    <mergeCell ref="G9:AD9"/>
    <mergeCell ref="A5:F5"/>
    <mergeCell ref="A6:F6"/>
    <mergeCell ref="G5:AD5"/>
    <mergeCell ref="G6:AD6"/>
    <mergeCell ref="A8:F8"/>
    <mergeCell ref="G4:AD4"/>
    <mergeCell ref="G7:AD7"/>
    <mergeCell ref="G10:AD10"/>
    <mergeCell ref="G11:AD11"/>
    <mergeCell ref="G12:AD12"/>
    <mergeCell ref="G13:AD13"/>
    <mergeCell ref="G8:AD8"/>
    <mergeCell ref="G2:AD2"/>
    <mergeCell ref="A34:AD34"/>
    <mergeCell ref="A27:AD27"/>
    <mergeCell ref="G17:AD17"/>
    <mergeCell ref="A25:F25"/>
    <mergeCell ref="G25:AD25"/>
    <mergeCell ref="G18:AD18"/>
    <mergeCell ref="G19:AD19"/>
    <mergeCell ref="G20:AD20"/>
    <mergeCell ref="G21:AD21"/>
    <mergeCell ref="G23:AD23"/>
    <mergeCell ref="A17:F17"/>
    <mergeCell ref="A31:F31"/>
    <mergeCell ref="G30:AD30"/>
    <mergeCell ref="A21:F21"/>
    <mergeCell ref="A32:F32"/>
    <mergeCell ref="G32:AD32"/>
    <mergeCell ref="G15:AD15"/>
    <mergeCell ref="A15:F15"/>
    <mergeCell ref="A18:F18"/>
    <mergeCell ref="A19:F19"/>
    <mergeCell ref="A20:F20"/>
    <mergeCell ref="A22:A23"/>
    <mergeCell ref="B22:F22"/>
    <mergeCell ref="B23:F23"/>
    <mergeCell ref="G31:AD31"/>
    <mergeCell ref="A28:F28"/>
    <mergeCell ref="G28:AD28"/>
    <mergeCell ref="A29:F29"/>
    <mergeCell ref="G29:AD29"/>
    <mergeCell ref="A30:F30"/>
    <mergeCell ref="G22:AD22"/>
    <mergeCell ref="Z36:AD36"/>
    <mergeCell ref="H35:M35"/>
    <mergeCell ref="N35:S35"/>
    <mergeCell ref="T35:Y35"/>
    <mergeCell ref="Z35:AD35"/>
    <mergeCell ref="A36:C36"/>
    <mergeCell ref="D36:G36"/>
    <mergeCell ref="H36:M36"/>
    <mergeCell ref="N36:S36"/>
    <mergeCell ref="T36:Y36"/>
    <mergeCell ref="A35:C35"/>
    <mergeCell ref="D35:G35"/>
    <mergeCell ref="Z38:AD38"/>
    <mergeCell ref="A37:C37"/>
    <mergeCell ref="D37:G37"/>
    <mergeCell ref="H37:M37"/>
    <mergeCell ref="N37:S37"/>
    <mergeCell ref="T37:Y37"/>
    <mergeCell ref="Z37:AD37"/>
    <mergeCell ref="A38:C38"/>
    <mergeCell ref="D38:G38"/>
    <mergeCell ref="H38:M38"/>
    <mergeCell ref="N38:S38"/>
    <mergeCell ref="T38:Y38"/>
    <mergeCell ref="Z40:AD40"/>
    <mergeCell ref="A39:C39"/>
    <mergeCell ref="D39:G39"/>
    <mergeCell ref="H39:M39"/>
    <mergeCell ref="N39:S39"/>
    <mergeCell ref="T39:Y39"/>
    <mergeCell ref="Z39:AD39"/>
    <mergeCell ref="A40:C40"/>
    <mergeCell ref="D40:G40"/>
    <mergeCell ref="H40:M40"/>
    <mergeCell ref="N40:S40"/>
    <mergeCell ref="T40:Y40"/>
    <mergeCell ref="A42:AD42"/>
    <mergeCell ref="A48:AD48"/>
    <mergeCell ref="A43:F43"/>
    <mergeCell ref="A44:F44"/>
    <mergeCell ref="A45:F45"/>
    <mergeCell ref="A46:F46"/>
    <mergeCell ref="G43:AD43"/>
    <mergeCell ref="G44:AD44"/>
    <mergeCell ref="G45:AD45"/>
    <mergeCell ref="G46:AD46"/>
    <mergeCell ref="G50:AD50"/>
    <mergeCell ref="G51:AD51"/>
    <mergeCell ref="G52:AD52"/>
    <mergeCell ref="G53:AD53"/>
    <mergeCell ref="A49:F49"/>
    <mergeCell ref="A50:F50"/>
    <mergeCell ref="A51:F51"/>
    <mergeCell ref="A52:F52"/>
    <mergeCell ref="A53:F53"/>
    <mergeCell ref="G49:AD49"/>
  </mergeCells>
  <conditionalFormatting sqref="A36:Z36">
    <cfRule type="expression" dxfId="5" priority="4">
      <formula>NOT($A$36="Q1")</formula>
    </cfRule>
  </conditionalFormatting>
  <conditionalFormatting sqref="A37:Z37">
    <cfRule type="expression" dxfId="4" priority="5">
      <formula>NOT(AND($A$36="Q1",$A$37="Q2"))</formula>
    </cfRule>
  </conditionalFormatting>
  <conditionalFormatting sqref="A38:Z38">
    <cfRule type="expression" dxfId="3" priority="6">
      <formula>NOT(AND($A$36="Q1",$A$37="Q2",$A$38="Q3"))</formula>
    </cfRule>
  </conditionalFormatting>
  <conditionalFormatting sqref="A39:Z39">
    <cfRule type="expression" dxfId="2" priority="7">
      <formula>NOT(AND($A$36="Q1",$A$37="Q2",$A$38="Q3",$A$39="Q4"))</formula>
    </cfRule>
  </conditionalFormatting>
  <conditionalFormatting sqref="A40:Z40">
    <cfRule type="expression" dxfId="1" priority="8">
      <formula>NOT(AND($A$36="Q1",$A$37="Q2",$A$38="Q3",$A$39="Q4",$A$40="Q5"))</formula>
    </cfRule>
  </conditionalFormatting>
  <conditionalFormatting sqref="G28:G32">
    <cfRule type="expression" dxfId="0" priority="3">
      <formula>G28=""</formula>
    </cfRule>
  </conditionalFormatting>
  <dataValidations count="15">
    <dataValidation type="list" allowBlank="1" showErrorMessage="1" errorTitle="Invalid Question ID" error="Only Q1 is allowed here, and questions must be added consecutively." sqref="A36" xr:uid="{00000000-0002-0000-0100-000001000000}">
      <formula1>INDIRECT("Lists!$S$2:$S$2")</formula1>
    </dataValidation>
    <dataValidation type="list" allowBlank="1" showErrorMessage="1" errorTitle="Invalid Question ID" error="Only Q2 is allowed here, and questions must be added consecutively." sqref="A37" xr:uid="{00000000-0002-0000-0100-000002000000}">
      <formula1>INDIRECT(IF($A$36="Q1","Lists!$S$3:$S$3","Lists!$O$2:$O$2"))</formula1>
    </dataValidation>
    <dataValidation type="list" allowBlank="1" showErrorMessage="1" errorTitle="Invalid Question ID" error="Only Q3 is allowed here, and questions must be added consecutively." sqref="A38" xr:uid="{00000000-0002-0000-0100-000003000000}">
      <formula1>INDIRECT(IF(AND($A$36="Q1",$A$37="Q2"),"Lists!$S$4:$S$4","Lists!$O$2:$O$2"))</formula1>
    </dataValidation>
    <dataValidation type="list" allowBlank="1" showErrorMessage="1" errorTitle="Invalid Question ID" error="Only Q4 is allowed here, and questions must be added consecutively." sqref="A39" xr:uid="{00000000-0002-0000-0100-000004000000}">
      <formula1>INDIRECT(IF(AND($A$36="Q1",$A$37="Q2",$A$38="Q3"),"Lists!$S$5:$S$5","Lists!$O$2:$O$2"))</formula1>
    </dataValidation>
    <dataValidation type="list" allowBlank="1" showErrorMessage="1" errorTitle="Invalid Question ID" error="Only Q5 is allowed here, and questions must be added consecutively." sqref="A40" xr:uid="{00000000-0002-0000-0100-000005000000}">
      <formula1>INDIRECT(IF(AND($A$36="Q1",$A$37="Q2",$A$38="Q3",$A$39="Q4"),"Lists!$S$6:$S$6","Lists!$O$2:$O$2"))</formula1>
    </dataValidation>
    <dataValidation type="list" allowBlank="1" sqref="D36" xr:uid="{00000000-0002-0000-0100-000006000000}">
      <formula1>INDIRECT(IF(AND($A$36="Q1",COUNTA($G$28:$G$32)&gt;0),"Lists!$M$2:$M$"&amp;1+COUNTA($G$28:$G$32),"Lists!$O$2:$O$2"))</formula1>
    </dataValidation>
    <dataValidation type="list" allowBlank="1" sqref="Z36" xr:uid="{00000000-0002-0000-0100-00000A000000}">
      <formula1>INDIRECT(IF($A$36="Q1","Lists!$A$2:$A$7","Lists!$O$2:$O$2"))</formula1>
    </dataValidation>
    <dataValidation type="list" allowBlank="1" sqref="D37" xr:uid="{00000000-0002-0000-0100-00000B000000}">
      <formula1>INDIRECT(IF(AND(AND($A$36="Q1",$A$37="Q2"),COUNTA($G$28:$G$32)&gt;0),"Lists!$M$2:$M$"&amp;1+COUNTA($G$28:$G$32),"Lists!$O$2:$O$2"))</formula1>
    </dataValidation>
    <dataValidation type="list" allowBlank="1" sqref="Z37" xr:uid="{00000000-0002-0000-0100-00000F000000}">
      <formula1>INDIRECT(IF(AND($A$36="Q1",$A$37="Q2"),"Lists!$A$2:$A$7","Lists!$O$2:$O$2"))</formula1>
    </dataValidation>
    <dataValidation type="list" allowBlank="1" sqref="D38" xr:uid="{00000000-0002-0000-0100-000010000000}">
      <formula1>INDIRECT(IF(AND(AND($A$36="Q1",$A$37="Q2",$A$38="Q3"),COUNTA($G$28:$G$32)&gt;0),"Lists!$M$2:$M$"&amp;1+COUNTA($G$28:$G$32),"Lists!$O$2:$O$2"))</formula1>
    </dataValidation>
    <dataValidation type="list" allowBlank="1" sqref="Z38" xr:uid="{00000000-0002-0000-0100-000014000000}">
      <formula1>INDIRECT(IF(AND($A$36="Q1",$A$37="Q2",$A$38="Q3"),"Lists!$A$2:$A$7","Lists!$O$2:$O$2"))</formula1>
    </dataValidation>
    <dataValidation type="list" allowBlank="1" sqref="D39" xr:uid="{00000000-0002-0000-0100-000015000000}">
      <formula1>INDIRECT(IF(AND(AND($A$36="Q1",$A$37="Q2",$A$38="Q3",$A$39="Q4"),COUNTA($G$28:$G$32)&gt;0),"Lists!$M$2:$M$"&amp;1+COUNTA($G$28:$G$32),"Lists!$O$2:$O$2"))</formula1>
    </dataValidation>
    <dataValidation type="list" allowBlank="1" sqref="Z39" xr:uid="{00000000-0002-0000-0100-000019000000}">
      <formula1>INDIRECT(IF(AND($A$36="Q1",$A$37="Q2",$A$38="Q3",$A$39="Q4"),"Lists!$A$2:$A$7","Lists!$O$2:$O$2"))</formula1>
    </dataValidation>
    <dataValidation type="list" allowBlank="1" sqref="D40" xr:uid="{00000000-0002-0000-0100-00001A000000}">
      <formula1>INDIRECT(IF(AND(AND($A$36="Q1",$A$37="Q2",$A$38="Q3",$A$39="Q4",$A$40="Q5"),COUNTA($G$28:$G$32)&gt;0),"Lists!$M$2:$M$"&amp;1+COUNTA($G$28:$G$32),"Lists!$O$2:$O$2"))</formula1>
    </dataValidation>
    <dataValidation type="list" allowBlank="1" sqref="Z40" xr:uid="{00000000-0002-0000-0100-00001E000000}">
      <formula1>INDIRECT(IF(AND($A$36="Q1",$A$37="Q2",$A$38="Q3",$A$39="Q4",$A$40="Q5"),"Lists!$A$2:$A$7","Lists!$O$2:$O$2"))</formula1>
    </dataValidation>
  </dataValidations>
  <hyperlinks>
    <hyperlink ref="G9" r:id="rId1" xr:uid="{5624F6A5-7395-462D-9E84-68B0AF8938B2}"/>
  </hyperlinks>
  <pageMargins left="0.51181102362204722" right="0.51181102362204722" top="0.74803149606299213" bottom="0.74803149606299213" header="0.31496062992125984" footer="0.31496062992125984"/>
  <pageSetup paperSize="9" orientation="portrait" horizontalDpi="0" verticalDpi="0" r:id="rId2"/>
  <extLst>
    <ext xmlns:x14="http://schemas.microsoft.com/office/spreadsheetml/2009/9/main" uri="{CCE6A557-97BC-4b89-ADB6-D9C93CAAB3DF}">
      <x14:dataValidations xmlns:xm="http://schemas.microsoft.com/office/excel/2006/main" count="15">
        <x14:dataValidation type="list" allowBlank="1" xr:uid="{00000000-0002-0000-0100-000007000000}">
          <x14:formula1>
            <xm:f>INDIRECT(IF($A$36="Q1","Lists!$D$2:$D$"&amp;COUNTA(Lists!$D:$D),"Lists!$O$2:$O$2"))</xm:f>
          </x14:formula1>
          <xm:sqref>H36</xm:sqref>
        </x14:dataValidation>
        <x14:dataValidation type="list" allowBlank="1" xr:uid="{00000000-0002-0000-0100-000008000000}">
          <x14:formula1>
            <xm:f>INDIRECT(IF($A$36="Q1","Lists!$G$2:$G$"&amp;COUNTA(Lists!$G:$G),"Lists!$O$2:$O$2"))</xm:f>
          </x14:formula1>
          <xm:sqref>N36</xm:sqref>
        </x14:dataValidation>
        <x14:dataValidation type="list" allowBlank="1" xr:uid="{00000000-0002-0000-0100-000009000000}">
          <x14:formula1>
            <xm:f>INDIRECT(IF($A$36="Q1","Lists!$J$2:$J$"&amp;COUNTA(Lists!$J:$J),"Lists!$O$2:$O$2"))</xm:f>
          </x14:formula1>
          <xm:sqref>T36</xm:sqref>
        </x14:dataValidation>
        <x14:dataValidation type="list" allowBlank="1" xr:uid="{00000000-0002-0000-0100-00000C000000}">
          <x14:formula1>
            <xm:f>INDIRECT(IF(AND($A$36="Q1",$A$37="Q2"),"Lists!$D$2:$D$"&amp;COUNTA(Lists!$D:$D),"Lists!$O$2:$O$2"))</xm:f>
          </x14:formula1>
          <xm:sqref>H37</xm:sqref>
        </x14:dataValidation>
        <x14:dataValidation type="list" allowBlank="1" xr:uid="{00000000-0002-0000-0100-00000D000000}">
          <x14:formula1>
            <xm:f>INDIRECT(IF(AND($A$36="Q1",$A$37="Q2"),"Lists!$G$2:$G$"&amp;COUNTA(Lists!$G:$G),"Lists!$O$2:$O$2"))</xm:f>
          </x14:formula1>
          <xm:sqref>N37</xm:sqref>
        </x14:dataValidation>
        <x14:dataValidation type="list" allowBlank="1" xr:uid="{00000000-0002-0000-0100-00000E000000}">
          <x14:formula1>
            <xm:f>INDIRECT(IF(AND($A$36="Q1",$A$37="Q2"),"Lists!$J$2:$J$"&amp;COUNTA(Lists!$J:$J),"Lists!$O$2:$O$2"))</xm:f>
          </x14:formula1>
          <xm:sqref>T37</xm:sqref>
        </x14:dataValidation>
        <x14:dataValidation type="list" allowBlank="1" xr:uid="{00000000-0002-0000-0100-000011000000}">
          <x14:formula1>
            <xm:f>INDIRECT(IF(AND($A$36="Q1",$A$37="Q2",$A$38="Q3"),"Lists!$D$2:$D$"&amp;COUNTA(Lists!$D:$D),"Lists!$O$2:$O$2"))</xm:f>
          </x14:formula1>
          <xm:sqref>H38</xm:sqref>
        </x14:dataValidation>
        <x14:dataValidation type="list" allowBlank="1" xr:uid="{00000000-0002-0000-0100-000012000000}">
          <x14:formula1>
            <xm:f>INDIRECT(IF(AND($A$36="Q1",$A$37="Q2",$A$38="Q3"),"Lists!$G$2:$G$"&amp;COUNTA(Lists!$G:$G),"Lists!$O$2:$O$2"))</xm:f>
          </x14:formula1>
          <xm:sqref>N38</xm:sqref>
        </x14:dataValidation>
        <x14:dataValidation type="list" allowBlank="1" xr:uid="{00000000-0002-0000-0100-000013000000}">
          <x14:formula1>
            <xm:f>INDIRECT(IF(AND($A$36="Q1",$A$37="Q2",$A$38="Q3"),"Lists!$J$2:$J$"&amp;COUNTA(Lists!$J:$J),"Lists!$O$2:$O$2"))</xm:f>
          </x14:formula1>
          <xm:sqref>T38</xm:sqref>
        </x14:dataValidation>
        <x14:dataValidation type="list" allowBlank="1" xr:uid="{00000000-0002-0000-0100-000016000000}">
          <x14:formula1>
            <xm:f>INDIRECT(IF(AND($A$36="Q1",$A$37="Q2",$A$38="Q3",$A$39="Q4"),"Lists!$D$2:$D$"&amp;COUNTA(Lists!$D:$D),"Lists!$O$2:$O$2"))</xm:f>
          </x14:formula1>
          <xm:sqref>H39</xm:sqref>
        </x14:dataValidation>
        <x14:dataValidation type="list" allowBlank="1" xr:uid="{00000000-0002-0000-0100-000017000000}">
          <x14:formula1>
            <xm:f>INDIRECT(IF(AND($A$36="Q1",$A$37="Q2",$A$38="Q3",$A$39="Q4"),"Lists!$G$2:$G$"&amp;COUNTA(Lists!$G:$G),"Lists!$O$2:$O$2"))</xm:f>
          </x14:formula1>
          <xm:sqref>N39</xm:sqref>
        </x14:dataValidation>
        <x14:dataValidation type="list" allowBlank="1" xr:uid="{00000000-0002-0000-0100-000018000000}">
          <x14:formula1>
            <xm:f>INDIRECT(IF(AND($A$36="Q1",$A$37="Q2",$A$38="Q3",$A$39="Q4"),"Lists!$J$2:$J$"&amp;COUNTA(Lists!$J:$J),"Lists!$O$2:$O$2"))</xm:f>
          </x14:formula1>
          <xm:sqref>T39</xm:sqref>
        </x14:dataValidation>
        <x14:dataValidation type="list" allowBlank="1" xr:uid="{00000000-0002-0000-0100-00001B000000}">
          <x14:formula1>
            <xm:f>INDIRECT(IF(AND($A$36="Q1",$A$37="Q2",$A$38="Q3",$A$39="Q4",$A$40="Q5"),"Lists!$D$2:$D$"&amp;COUNTA(Lists!$D:$D),"Lists!$O$2:$O$2"))</xm:f>
          </x14:formula1>
          <xm:sqref>H40</xm:sqref>
        </x14:dataValidation>
        <x14:dataValidation type="list" allowBlank="1" xr:uid="{00000000-0002-0000-0100-00001C000000}">
          <x14:formula1>
            <xm:f>INDIRECT(IF(AND($A$36="Q1",$A$37="Q2",$A$38="Q3",$A$39="Q4",$A$40="Q5"),"Lists!$G$2:$G$"&amp;COUNTA(Lists!$G:$G),"Lists!$O$2:$O$2"))</xm:f>
          </x14:formula1>
          <xm:sqref>N40</xm:sqref>
        </x14:dataValidation>
        <x14:dataValidation type="list" allowBlank="1" xr:uid="{00000000-0002-0000-0100-00001D000000}">
          <x14:formula1>
            <xm:f>INDIRECT(IF(AND($A$36="Q1",$A$37="Q2",$A$38="Q3",$A$39="Q4",$A$40="Q5"),"Lists!$J$2:$J$"&amp;COUNTA(Lists!$J:$J),"Lists!$O$2:$O$2"))</xm:f>
          </x14:formula1>
          <xm:sqref>T40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3"/>
  <sheetViews>
    <sheetView showGridLines="0" view="pageBreakPreview" topLeftCell="A10" zoomScale="130" zoomScaleNormal="100" zoomScaleSheetLayoutView="130" workbookViewId="0">
      <selection activeCell="G4" sqref="G4:AD4"/>
    </sheetView>
  </sheetViews>
  <sheetFormatPr defaultColWidth="3" defaultRowHeight="15" customHeight="1" x14ac:dyDescent="0.25"/>
  <cols>
    <col min="1" max="16384" width="3" style="14"/>
  </cols>
  <sheetData>
    <row r="1" spans="1:30" ht="30" customHeight="1" x14ac:dyDescent="0.25">
      <c r="A1" s="21" t="str">
        <f xml:space="preserve"> "ACTIVITY " &amp; 'Activity Info'!G4 &amp; " — QUESTION 1"</f>
        <v>ACTIVITY PR-001 — QUESTION 1</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ht="15" customHeight="1" x14ac:dyDescent="0.25">
      <c r="A2" s="74"/>
      <c r="B2" s="74"/>
      <c r="C2" s="74"/>
      <c r="D2" s="74"/>
      <c r="E2" s="74"/>
      <c r="F2" s="74"/>
      <c r="G2" s="74"/>
      <c r="H2" s="74"/>
      <c r="I2" s="74"/>
      <c r="J2" s="74"/>
      <c r="K2" s="74"/>
      <c r="L2" s="74"/>
    </row>
    <row r="3" spans="1:30" ht="15" customHeight="1" x14ac:dyDescent="0.25">
      <c r="A3" s="75" t="s">
        <v>161</v>
      </c>
      <c r="B3" s="76"/>
      <c r="C3" s="76"/>
      <c r="D3" s="76"/>
      <c r="E3" s="76"/>
      <c r="F3" s="77"/>
      <c r="G3" s="78" t="s">
        <v>200</v>
      </c>
      <c r="H3" s="78"/>
      <c r="I3" s="78"/>
      <c r="J3" s="78"/>
      <c r="K3" s="78"/>
      <c r="L3" s="78"/>
      <c r="M3" s="78"/>
      <c r="N3" s="78"/>
      <c r="O3" s="78"/>
      <c r="P3" s="78"/>
      <c r="Q3" s="78"/>
      <c r="R3" s="78"/>
      <c r="S3" s="78"/>
      <c r="T3" s="78"/>
      <c r="U3" s="78"/>
      <c r="V3" s="78"/>
      <c r="W3" s="78"/>
      <c r="X3" s="78"/>
      <c r="Y3" s="78"/>
      <c r="Z3" s="78"/>
      <c r="AA3" s="78"/>
      <c r="AB3" s="78"/>
      <c r="AC3" s="78"/>
      <c r="AD3" s="79"/>
    </row>
    <row r="4" spans="1:30" ht="52.5" customHeight="1" x14ac:dyDescent="0.25">
      <c r="A4" s="51" t="s">
        <v>194</v>
      </c>
      <c r="B4" s="38"/>
      <c r="C4" s="38"/>
      <c r="D4" s="38"/>
      <c r="E4" s="38"/>
      <c r="F4" s="39"/>
      <c r="G4" s="48" t="str">
        <f>IF('Activity Info'!D36&lt;&gt;"",VLOOKUP('Activity Info'!D36,'Activity Info'!A28:G32,7),"")</f>
        <v>The student will be able to explain why activated-sludge biomass cannot be retained in a continuous-flow aerated reactor without solids separation and how secondary sedimentation with return activated sludge enables biomass retention.</v>
      </c>
      <c r="H4" s="48"/>
      <c r="I4" s="48"/>
      <c r="J4" s="48"/>
      <c r="K4" s="48"/>
      <c r="L4" s="48"/>
      <c r="M4" s="48"/>
      <c r="N4" s="48"/>
      <c r="O4" s="48"/>
      <c r="P4" s="48"/>
      <c r="Q4" s="48"/>
      <c r="R4" s="48"/>
      <c r="S4" s="48"/>
      <c r="T4" s="48"/>
      <c r="U4" s="48"/>
      <c r="V4" s="48"/>
      <c r="W4" s="48"/>
      <c r="X4" s="48"/>
      <c r="Y4" s="48"/>
      <c r="Z4" s="48"/>
      <c r="AA4" s="48"/>
      <c r="AB4" s="48"/>
      <c r="AC4" s="48"/>
      <c r="AD4" s="49"/>
    </row>
    <row r="5" spans="1:30" ht="15" customHeight="1" x14ac:dyDescent="0.25">
      <c r="A5" s="65" t="s">
        <v>2</v>
      </c>
      <c r="B5" s="66"/>
      <c r="C5" s="66"/>
      <c r="D5" s="66"/>
      <c r="E5" s="66"/>
      <c r="F5" s="67"/>
      <c r="G5" s="68" t="str">
        <f>IF('Activity Info'!H36&lt;&gt;"",'Activity Info'!H36,"")</f>
        <v>PO-6</v>
      </c>
      <c r="H5" s="68"/>
      <c r="I5" s="68"/>
      <c r="J5" s="68"/>
      <c r="K5" s="68"/>
      <c r="L5" s="68"/>
      <c r="M5" s="68"/>
      <c r="N5" s="68"/>
      <c r="O5" s="68"/>
      <c r="P5" s="68"/>
      <c r="Q5" s="68"/>
      <c r="R5" s="68"/>
      <c r="S5" s="68"/>
      <c r="T5" s="68"/>
      <c r="U5" s="68"/>
      <c r="V5" s="68"/>
      <c r="W5" s="68"/>
      <c r="X5" s="68"/>
      <c r="Y5" s="68"/>
      <c r="Z5" s="68"/>
      <c r="AA5" s="68"/>
      <c r="AB5" s="68"/>
      <c r="AC5" s="68"/>
      <c r="AD5" s="69"/>
    </row>
    <row r="6" spans="1:30" ht="15" customHeight="1" x14ac:dyDescent="0.25">
      <c r="A6" s="65" t="s">
        <v>4</v>
      </c>
      <c r="B6" s="66"/>
      <c r="C6" s="66"/>
      <c r="D6" s="66"/>
      <c r="E6" s="66"/>
      <c r="F6" s="67"/>
      <c r="G6" s="68" t="str">
        <f>IF('Activity Info'!N36&lt;&gt;"",'Activity Info'!N36,"")</f>
        <v>PO-1</v>
      </c>
      <c r="H6" s="68"/>
      <c r="I6" s="68"/>
      <c r="J6" s="68"/>
      <c r="K6" s="68"/>
      <c r="L6" s="68"/>
      <c r="M6" s="68"/>
      <c r="N6" s="68"/>
      <c r="O6" s="68"/>
      <c r="P6" s="68"/>
      <c r="Q6" s="68"/>
      <c r="R6" s="68"/>
      <c r="S6" s="68"/>
      <c r="T6" s="68"/>
      <c r="U6" s="68"/>
      <c r="V6" s="68"/>
      <c r="W6" s="68"/>
      <c r="X6" s="68"/>
      <c r="Y6" s="68"/>
      <c r="Z6" s="68"/>
      <c r="AA6" s="68"/>
      <c r="AB6" s="68"/>
      <c r="AC6" s="68"/>
      <c r="AD6" s="69"/>
    </row>
    <row r="7" spans="1:30" ht="15" customHeight="1" x14ac:dyDescent="0.25">
      <c r="A7" s="65" t="s">
        <v>6</v>
      </c>
      <c r="B7" s="66"/>
      <c r="C7" s="66"/>
      <c r="D7" s="66"/>
      <c r="E7" s="66"/>
      <c r="F7" s="67"/>
      <c r="G7" s="68" t="str">
        <f>IF('Activity Info'!T36&lt;&gt;"",'Activity Info'!T36,"")</f>
        <v>PÇ-1.2</v>
      </c>
      <c r="H7" s="68"/>
      <c r="I7" s="68"/>
      <c r="J7" s="68"/>
      <c r="K7" s="68"/>
      <c r="L7" s="68"/>
      <c r="M7" s="68"/>
      <c r="N7" s="68"/>
      <c r="O7" s="68"/>
      <c r="P7" s="68"/>
      <c r="Q7" s="68"/>
      <c r="R7" s="68"/>
      <c r="S7" s="68"/>
      <c r="T7" s="68"/>
      <c r="U7" s="68"/>
      <c r="V7" s="68"/>
      <c r="W7" s="68"/>
      <c r="X7" s="68"/>
      <c r="Y7" s="68"/>
      <c r="Z7" s="68"/>
      <c r="AA7" s="68"/>
      <c r="AB7" s="68"/>
      <c r="AC7" s="68"/>
      <c r="AD7" s="69"/>
    </row>
    <row r="8" spans="1:30" ht="15" customHeight="1" x14ac:dyDescent="0.25">
      <c r="A8" s="58" t="s">
        <v>174</v>
      </c>
      <c r="B8" s="59"/>
      <c r="C8" s="59"/>
      <c r="D8" s="59"/>
      <c r="E8" s="59"/>
      <c r="F8" s="60"/>
      <c r="G8" s="61" t="str">
        <f>IF('Activity Info'!Z36&lt;&gt;"",'Activity Info'!Z36,"")</f>
        <v>Remember</v>
      </c>
      <c r="H8" s="61"/>
      <c r="I8" s="61"/>
      <c r="J8" s="61"/>
      <c r="K8" s="61"/>
      <c r="L8" s="61"/>
      <c r="M8" s="61"/>
      <c r="N8" s="61"/>
      <c r="O8" s="61"/>
      <c r="P8" s="61"/>
      <c r="Q8" s="61"/>
      <c r="R8" s="61"/>
      <c r="S8" s="61"/>
      <c r="T8" s="61"/>
      <c r="U8" s="61"/>
      <c r="V8" s="61"/>
      <c r="W8" s="61"/>
      <c r="X8" s="61"/>
      <c r="Y8" s="61"/>
      <c r="Z8" s="61"/>
      <c r="AA8" s="61"/>
      <c r="AB8" s="61"/>
      <c r="AC8" s="61"/>
      <c r="AD8" s="62"/>
    </row>
    <row r="9" spans="1:30" ht="15" customHeight="1" x14ac:dyDescent="0.25">
      <c r="A9" s="63"/>
      <c r="B9" s="63"/>
      <c r="C9" s="63"/>
      <c r="D9" s="63"/>
      <c r="E9" s="63"/>
      <c r="F9" s="63"/>
      <c r="G9" s="64"/>
      <c r="H9" s="64"/>
      <c r="I9" s="64"/>
      <c r="J9" s="64"/>
      <c r="K9" s="64"/>
      <c r="L9" s="64"/>
      <c r="M9" s="64"/>
      <c r="N9" s="64"/>
      <c r="O9" s="64"/>
      <c r="P9" s="64"/>
      <c r="Q9" s="64"/>
      <c r="R9" s="64"/>
      <c r="S9" s="64"/>
      <c r="T9" s="64"/>
      <c r="U9" s="64"/>
      <c r="V9" s="64"/>
      <c r="W9" s="64"/>
      <c r="X9" s="64"/>
      <c r="Y9" s="64"/>
      <c r="Z9" s="64"/>
      <c r="AA9" s="64"/>
      <c r="AB9" s="64"/>
      <c r="AC9" s="64"/>
      <c r="AD9" s="64"/>
    </row>
    <row r="10" spans="1:30" ht="97.5" customHeight="1" x14ac:dyDescent="0.25">
      <c r="A10" s="22" t="s">
        <v>195</v>
      </c>
      <c r="B10" s="22"/>
      <c r="C10" s="22"/>
      <c r="D10" s="22"/>
      <c r="E10" s="22"/>
      <c r="F10" s="22"/>
      <c r="G10" s="23" t="s">
        <v>196</v>
      </c>
      <c r="H10" s="23"/>
      <c r="I10" s="23"/>
      <c r="J10" s="23"/>
      <c r="K10" s="23"/>
      <c r="L10" s="23"/>
      <c r="M10" s="23"/>
      <c r="N10" s="23"/>
      <c r="O10" s="23"/>
      <c r="P10" s="23"/>
      <c r="Q10" s="23"/>
      <c r="R10" s="23"/>
      <c r="S10" s="23"/>
      <c r="T10" s="23"/>
      <c r="U10" s="23"/>
      <c r="V10" s="23"/>
      <c r="W10" s="23"/>
      <c r="X10" s="23"/>
      <c r="Y10" s="23"/>
      <c r="Z10" s="23"/>
      <c r="AA10" s="23"/>
      <c r="AB10" s="23"/>
      <c r="AC10" s="23"/>
      <c r="AD10" s="23"/>
    </row>
    <row r="11" spans="1:30" ht="15" customHeight="1" x14ac:dyDescent="0.25">
      <c r="A11" s="15"/>
      <c r="B11" s="15"/>
      <c r="C11" s="15"/>
      <c r="D11" s="15"/>
      <c r="E11" s="15"/>
      <c r="F11" s="15"/>
      <c r="G11" s="15"/>
      <c r="H11" s="15"/>
      <c r="I11" s="15"/>
      <c r="J11" s="15"/>
      <c r="K11" s="15"/>
      <c r="L11" s="15"/>
    </row>
    <row r="12" spans="1:30" ht="15" customHeight="1" x14ac:dyDescent="0.25">
      <c r="A12" s="24" t="s">
        <v>201</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6"/>
    </row>
    <row r="13" spans="1:30" ht="15" customHeight="1" x14ac:dyDescent="0.25">
      <c r="A13" s="80" t="s">
        <v>197</v>
      </c>
      <c r="B13" s="81"/>
      <c r="C13" s="81"/>
      <c r="D13" s="81"/>
      <c r="E13" s="81"/>
      <c r="F13" s="82"/>
      <c r="G13" s="83" t="s">
        <v>223</v>
      </c>
      <c r="H13" s="83"/>
      <c r="I13" s="83"/>
      <c r="J13" s="83"/>
      <c r="K13" s="83"/>
      <c r="L13" s="83"/>
      <c r="M13" s="83"/>
      <c r="N13" s="83"/>
      <c r="O13" s="83"/>
      <c r="P13" s="83"/>
      <c r="Q13" s="83"/>
      <c r="R13" s="83"/>
      <c r="S13" s="83"/>
      <c r="T13" s="83"/>
      <c r="U13" s="83"/>
      <c r="V13" s="83"/>
      <c r="W13" s="83"/>
      <c r="X13" s="83"/>
      <c r="Y13" s="83"/>
      <c r="Z13" s="83"/>
      <c r="AA13" s="83"/>
      <c r="AB13" s="83"/>
      <c r="AC13" s="83"/>
      <c r="AD13" s="84"/>
    </row>
    <row r="14" spans="1:30" ht="15" customHeight="1" x14ac:dyDescent="0.25">
      <c r="A14" s="31" t="s">
        <v>203</v>
      </c>
      <c r="B14" s="27" t="s">
        <v>207</v>
      </c>
      <c r="C14" s="27"/>
      <c r="D14" s="27"/>
      <c r="E14" s="27"/>
      <c r="F14" s="28"/>
      <c r="G14" s="52" t="s">
        <v>204</v>
      </c>
      <c r="H14" s="52"/>
      <c r="I14" s="52"/>
      <c r="J14" s="52"/>
      <c r="K14" s="52"/>
      <c r="L14" s="52"/>
      <c r="M14" s="52"/>
      <c r="N14" s="52"/>
      <c r="O14" s="52"/>
      <c r="P14" s="52"/>
      <c r="Q14" s="52"/>
      <c r="R14" s="52"/>
      <c r="S14" s="52"/>
      <c r="T14" s="52"/>
      <c r="U14" s="52"/>
      <c r="V14" s="52"/>
      <c r="W14" s="52"/>
      <c r="X14" s="52"/>
      <c r="Y14" s="52"/>
      <c r="Z14" s="52"/>
      <c r="AA14" s="52"/>
      <c r="AB14" s="52"/>
      <c r="AC14" s="52"/>
      <c r="AD14" s="53"/>
    </row>
    <row r="15" spans="1:30" ht="15" customHeight="1" x14ac:dyDescent="0.25">
      <c r="A15" s="32"/>
      <c r="B15" s="34" t="s">
        <v>206</v>
      </c>
      <c r="C15" s="34"/>
      <c r="D15" s="34"/>
      <c r="E15" s="34"/>
      <c r="F15" s="35"/>
      <c r="G15" s="36" t="s">
        <v>208</v>
      </c>
      <c r="H15" s="36"/>
      <c r="I15" s="36"/>
      <c r="J15" s="36"/>
      <c r="K15" s="36"/>
      <c r="L15" s="36"/>
      <c r="M15" s="36"/>
      <c r="N15" s="36"/>
      <c r="O15" s="36"/>
      <c r="P15" s="36"/>
      <c r="Q15" s="36"/>
      <c r="R15" s="36"/>
      <c r="S15" s="36"/>
      <c r="T15" s="36"/>
      <c r="U15" s="36"/>
      <c r="V15" s="36"/>
      <c r="W15" s="36"/>
      <c r="X15" s="36"/>
      <c r="Y15" s="36"/>
      <c r="Z15" s="36"/>
      <c r="AA15" s="36"/>
      <c r="AB15" s="36"/>
      <c r="AC15" s="36"/>
      <c r="AD15" s="37"/>
    </row>
    <row r="16" spans="1:30" ht="30" customHeight="1" x14ac:dyDescent="0.25">
      <c r="A16" s="33"/>
      <c r="B16" s="29" t="s">
        <v>202</v>
      </c>
      <c r="C16" s="29"/>
      <c r="D16" s="29"/>
      <c r="E16" s="29"/>
      <c r="F16" s="30"/>
      <c r="G16" s="54" t="s">
        <v>205</v>
      </c>
      <c r="H16" s="54"/>
      <c r="I16" s="54"/>
      <c r="J16" s="54"/>
      <c r="K16" s="54"/>
      <c r="L16" s="54"/>
      <c r="M16" s="54"/>
      <c r="N16" s="54"/>
      <c r="O16" s="54"/>
      <c r="P16" s="54"/>
      <c r="Q16" s="54"/>
      <c r="R16" s="54"/>
      <c r="S16" s="54"/>
      <c r="T16" s="54"/>
      <c r="U16" s="54"/>
      <c r="V16" s="54"/>
      <c r="W16" s="54"/>
      <c r="X16" s="54"/>
      <c r="Y16" s="54"/>
      <c r="Z16" s="54"/>
      <c r="AA16" s="54"/>
      <c r="AB16" s="54"/>
      <c r="AC16" s="54"/>
      <c r="AD16" s="55"/>
    </row>
    <row r="17" spans="1:30" ht="15" customHeight="1" x14ac:dyDescent="0.25">
      <c r="A17" s="45" t="s">
        <v>217</v>
      </c>
      <c r="B17" s="38" t="s">
        <v>209</v>
      </c>
      <c r="C17" s="38"/>
      <c r="D17" s="38"/>
      <c r="E17" s="38"/>
      <c r="F17" s="39"/>
      <c r="G17" s="56" t="s">
        <v>213</v>
      </c>
      <c r="H17" s="56"/>
      <c r="I17" s="56"/>
      <c r="J17" s="56"/>
      <c r="K17" s="56"/>
      <c r="L17" s="56"/>
      <c r="M17" s="56"/>
      <c r="N17" s="56"/>
      <c r="O17" s="56"/>
      <c r="P17" s="56"/>
      <c r="Q17" s="56"/>
      <c r="R17" s="56"/>
      <c r="S17" s="56"/>
      <c r="T17" s="56"/>
      <c r="U17" s="56"/>
      <c r="V17" s="56"/>
      <c r="W17" s="56"/>
      <c r="X17" s="56"/>
      <c r="Y17" s="56"/>
      <c r="Z17" s="56"/>
      <c r="AA17" s="56"/>
      <c r="AB17" s="56"/>
      <c r="AC17" s="56"/>
      <c r="AD17" s="57"/>
    </row>
    <row r="18" spans="1:30" ht="15" customHeight="1" x14ac:dyDescent="0.25">
      <c r="A18" s="46"/>
      <c r="B18" s="38" t="s">
        <v>210</v>
      </c>
      <c r="C18" s="38"/>
      <c r="D18" s="38"/>
      <c r="E18" s="38"/>
      <c r="F18" s="39"/>
      <c r="G18" s="48" t="s">
        <v>214</v>
      </c>
      <c r="H18" s="48"/>
      <c r="I18" s="48"/>
      <c r="J18" s="48"/>
      <c r="K18" s="48"/>
      <c r="L18" s="48"/>
      <c r="M18" s="48"/>
      <c r="N18" s="48"/>
      <c r="O18" s="48"/>
      <c r="P18" s="48"/>
      <c r="Q18" s="48"/>
      <c r="R18" s="48"/>
      <c r="S18" s="48"/>
      <c r="T18" s="48"/>
      <c r="U18" s="48"/>
      <c r="V18" s="48"/>
      <c r="W18" s="48"/>
      <c r="X18" s="48"/>
      <c r="Y18" s="48"/>
      <c r="Z18" s="48"/>
      <c r="AA18" s="48"/>
      <c r="AB18" s="48"/>
      <c r="AC18" s="48"/>
      <c r="AD18" s="49"/>
    </row>
    <row r="19" spans="1:30" ht="15" customHeight="1" x14ac:dyDescent="0.25">
      <c r="A19" s="46"/>
      <c r="B19" s="38" t="s">
        <v>215</v>
      </c>
      <c r="C19" s="38"/>
      <c r="D19" s="38"/>
      <c r="E19" s="38"/>
      <c r="F19" s="39"/>
      <c r="G19" s="48" t="s">
        <v>216</v>
      </c>
      <c r="H19" s="48"/>
      <c r="I19" s="48"/>
      <c r="J19" s="48"/>
      <c r="K19" s="48"/>
      <c r="L19" s="48"/>
      <c r="M19" s="48"/>
      <c r="N19" s="48"/>
      <c r="O19" s="48"/>
      <c r="P19" s="48"/>
      <c r="Q19" s="48"/>
      <c r="R19" s="48"/>
      <c r="S19" s="48"/>
      <c r="T19" s="48"/>
      <c r="U19" s="48"/>
      <c r="V19" s="48"/>
      <c r="W19" s="48"/>
      <c r="X19" s="48"/>
      <c r="Y19" s="48"/>
      <c r="Z19" s="48"/>
      <c r="AA19" s="48"/>
      <c r="AB19" s="48"/>
      <c r="AC19" s="48"/>
      <c r="AD19" s="49"/>
    </row>
    <row r="20" spans="1:30" ht="30" customHeight="1" x14ac:dyDescent="0.25">
      <c r="A20" s="47"/>
      <c r="B20" s="38" t="s">
        <v>211</v>
      </c>
      <c r="C20" s="38"/>
      <c r="D20" s="38"/>
      <c r="E20" s="38"/>
      <c r="F20" s="39"/>
      <c r="G20" s="50" t="s">
        <v>212</v>
      </c>
      <c r="H20" s="40"/>
      <c r="I20" s="40"/>
      <c r="J20" s="40"/>
      <c r="K20" s="40"/>
      <c r="L20" s="40"/>
      <c r="M20" s="40"/>
      <c r="N20" s="40"/>
      <c r="O20" s="40"/>
      <c r="P20" s="40"/>
      <c r="Q20" s="40"/>
      <c r="R20" s="40"/>
      <c r="S20" s="40"/>
      <c r="T20" s="40"/>
      <c r="U20" s="40"/>
      <c r="V20" s="40"/>
      <c r="W20" s="40"/>
      <c r="X20" s="40"/>
      <c r="Y20" s="40"/>
      <c r="Z20" s="40"/>
      <c r="AA20" s="40"/>
      <c r="AB20" s="40"/>
      <c r="AC20" s="40"/>
      <c r="AD20" s="41"/>
    </row>
    <row r="21" spans="1:30" ht="15" customHeight="1" x14ac:dyDescent="0.25">
      <c r="A21" s="51" t="s">
        <v>218</v>
      </c>
      <c r="B21" s="38"/>
      <c r="C21" s="38"/>
      <c r="D21" s="38"/>
      <c r="E21" s="38"/>
      <c r="F21" s="39"/>
      <c r="G21" s="40" t="s">
        <v>227</v>
      </c>
      <c r="H21" s="40"/>
      <c r="I21" s="40"/>
      <c r="J21" s="40"/>
      <c r="K21" s="40"/>
      <c r="L21" s="40"/>
      <c r="M21" s="40"/>
      <c r="N21" s="40"/>
      <c r="O21" s="40"/>
      <c r="P21" s="40"/>
      <c r="Q21" s="40"/>
      <c r="R21" s="40"/>
      <c r="S21" s="40"/>
      <c r="T21" s="40"/>
      <c r="U21" s="40"/>
      <c r="V21" s="40"/>
      <c r="W21" s="40"/>
      <c r="X21" s="40"/>
      <c r="Y21" s="40"/>
      <c r="Z21" s="40"/>
      <c r="AA21" s="40"/>
      <c r="AB21" s="40"/>
      <c r="AC21" s="40"/>
      <c r="AD21" s="41"/>
    </row>
    <row r="22" spans="1:30" ht="132" customHeight="1" x14ac:dyDescent="0.25">
      <c r="A22" s="71" t="s">
        <v>198</v>
      </c>
      <c r="B22" s="72"/>
      <c r="C22" s="72"/>
      <c r="D22" s="72"/>
      <c r="E22" s="72"/>
      <c r="F22" s="73"/>
      <c r="G22" s="42" t="s">
        <v>219</v>
      </c>
      <c r="H22" s="43"/>
      <c r="I22" s="43"/>
      <c r="J22" s="43"/>
      <c r="K22" s="43"/>
      <c r="L22" s="43"/>
      <c r="M22" s="43"/>
      <c r="N22" s="43"/>
      <c r="O22" s="43"/>
      <c r="P22" s="43"/>
      <c r="Q22" s="43"/>
      <c r="R22" s="43"/>
      <c r="S22" s="43"/>
      <c r="T22" s="43"/>
      <c r="U22" s="43"/>
      <c r="V22" s="43"/>
      <c r="W22" s="43"/>
      <c r="X22" s="43"/>
      <c r="Y22" s="43"/>
      <c r="Z22" s="43"/>
      <c r="AA22" s="43"/>
      <c r="AB22" s="43"/>
      <c r="AC22" s="43"/>
      <c r="AD22" s="44"/>
    </row>
    <row r="23" spans="1:30" ht="15" customHeight="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spans="1:30" ht="188.25" customHeight="1" x14ac:dyDescent="0.25">
      <c r="A24" s="22" t="s">
        <v>199</v>
      </c>
      <c r="B24" s="22"/>
      <c r="C24" s="22"/>
      <c r="D24" s="22"/>
      <c r="E24" s="22"/>
      <c r="F24" s="22"/>
      <c r="G24" s="23" t="s">
        <v>228</v>
      </c>
      <c r="H24" s="23"/>
      <c r="I24" s="23"/>
      <c r="J24" s="23"/>
      <c r="K24" s="23"/>
      <c r="L24" s="23"/>
      <c r="M24" s="23"/>
      <c r="N24" s="23"/>
      <c r="O24" s="23"/>
      <c r="P24" s="23"/>
      <c r="Q24" s="23"/>
      <c r="R24" s="23"/>
      <c r="S24" s="23"/>
      <c r="T24" s="23"/>
      <c r="U24" s="23"/>
      <c r="V24" s="23"/>
      <c r="W24" s="23"/>
      <c r="X24" s="23"/>
      <c r="Y24" s="23"/>
      <c r="Z24" s="23"/>
      <c r="AA24" s="23"/>
      <c r="AB24" s="23"/>
      <c r="AC24" s="23"/>
      <c r="AD24" s="23"/>
    </row>
    <row r="25" spans="1:30" ht="15" customHeight="1" x14ac:dyDescent="0.25">
      <c r="A25" s="20"/>
      <c r="B25" s="20"/>
      <c r="C25" s="20"/>
      <c r="D25" s="20"/>
      <c r="E25" s="20"/>
      <c r="F25" s="20"/>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ht="131.25" customHeight="1" x14ac:dyDescent="0.25">
      <c r="A26" s="22" t="s">
        <v>220</v>
      </c>
      <c r="B26" s="22"/>
      <c r="C26" s="22"/>
      <c r="D26" s="22"/>
      <c r="E26" s="22"/>
      <c r="F26" s="22"/>
      <c r="G26" s="70" t="s">
        <v>221</v>
      </c>
      <c r="H26" s="70"/>
      <c r="I26" s="70"/>
      <c r="J26" s="70"/>
      <c r="K26" s="70"/>
      <c r="L26" s="70"/>
      <c r="M26" s="70"/>
      <c r="N26" s="70"/>
      <c r="O26" s="70"/>
      <c r="P26" s="70"/>
      <c r="Q26" s="70"/>
      <c r="R26" s="70"/>
      <c r="S26" s="70"/>
      <c r="T26" s="70"/>
      <c r="U26" s="70"/>
      <c r="V26" s="70"/>
      <c r="W26" s="70"/>
      <c r="X26" s="70"/>
      <c r="Y26" s="70"/>
      <c r="Z26" s="70"/>
      <c r="AA26" s="70"/>
      <c r="AB26" s="70"/>
      <c r="AC26" s="70"/>
      <c r="AD26" s="70"/>
    </row>
    <row r="33" s="14" customFormat="1" ht="15" customHeight="1" x14ac:dyDescent="0.25"/>
    <row r="34" s="14" customFormat="1" ht="15" customHeight="1" x14ac:dyDescent="0.25"/>
    <row r="35" s="14" customFormat="1" ht="15" customHeight="1" x14ac:dyDescent="0.25"/>
    <row r="36" s="14" customFormat="1" ht="15" customHeight="1" x14ac:dyDescent="0.25"/>
    <row r="37" s="14" customFormat="1" ht="15" customHeight="1" x14ac:dyDescent="0.25"/>
    <row r="38" s="14" customFormat="1" ht="15" customHeight="1" x14ac:dyDescent="0.25"/>
    <row r="39" s="14" customFormat="1" ht="15" customHeight="1" x14ac:dyDescent="0.25"/>
    <row r="40" s="14" customFormat="1" ht="15" customHeight="1" x14ac:dyDescent="0.25"/>
    <row r="41" s="14" customFormat="1" ht="15" customHeight="1" x14ac:dyDescent="0.25"/>
    <row r="42" s="14" customFormat="1" ht="15" customHeight="1" x14ac:dyDescent="0.25"/>
    <row r="43" s="14" customFormat="1" ht="15" customHeight="1" x14ac:dyDescent="0.25"/>
    <row r="44" s="14" customFormat="1" ht="15" customHeight="1" x14ac:dyDescent="0.25"/>
    <row r="45" s="14" customFormat="1" ht="15" customHeight="1" x14ac:dyDescent="0.25"/>
    <row r="46" s="14" customFormat="1" ht="15" customHeight="1" x14ac:dyDescent="0.25"/>
    <row r="47" s="14" customFormat="1" ht="15" customHeight="1" x14ac:dyDescent="0.25"/>
    <row r="48" s="14" customFormat="1" ht="15" customHeight="1" x14ac:dyDescent="0.25"/>
    <row r="49" s="14" customFormat="1" ht="15" customHeight="1" x14ac:dyDescent="0.25"/>
    <row r="50" s="14" customFormat="1" ht="15" customHeight="1" x14ac:dyDescent="0.25"/>
    <row r="51" s="14" customFormat="1" ht="15" customHeight="1" x14ac:dyDescent="0.25"/>
    <row r="52" s="14" customFormat="1" ht="15" customHeight="1" x14ac:dyDescent="0.25"/>
    <row r="53" s="14" customFormat="1" ht="15" customHeight="1" x14ac:dyDescent="0.25"/>
  </sheetData>
  <sheetProtection algorithmName="SHA-512" hashValue="PzeEvkLI/NjFqnenYcKzICyR4sJVaB/B/HW4DpGAj+2kNIhQdQl97ipgJZlpOfFR+YK3cHoIEL8Bg1T3fjiWYw==" saltValue="jPVXrhn+mcRw9SZQlAuPaA==" spinCount="100000" sheet="1" objects="1" scenarios="1"/>
  <mergeCells count="45">
    <mergeCell ref="A26:F26"/>
    <mergeCell ref="G26:AD26"/>
    <mergeCell ref="A22:F22"/>
    <mergeCell ref="A2:L2"/>
    <mergeCell ref="A3:F3"/>
    <mergeCell ref="G3:AD3"/>
    <mergeCell ref="A5:F5"/>
    <mergeCell ref="G5:AD5"/>
    <mergeCell ref="A4:F4"/>
    <mergeCell ref="G4:AD4"/>
    <mergeCell ref="A10:F10"/>
    <mergeCell ref="G10:AD10"/>
    <mergeCell ref="A13:F13"/>
    <mergeCell ref="G13:AD13"/>
    <mergeCell ref="A7:F7"/>
    <mergeCell ref="G7:AD7"/>
    <mergeCell ref="A8:F8"/>
    <mergeCell ref="G8:AD8"/>
    <mergeCell ref="A9:F9"/>
    <mergeCell ref="G9:AD9"/>
    <mergeCell ref="A6:F6"/>
    <mergeCell ref="G6:AD6"/>
    <mergeCell ref="G18:AD18"/>
    <mergeCell ref="G20:AD20"/>
    <mergeCell ref="G19:AD19"/>
    <mergeCell ref="A21:F21"/>
    <mergeCell ref="G14:AD14"/>
    <mergeCell ref="G16:AD16"/>
    <mergeCell ref="G17:AD17"/>
    <mergeCell ref="A1:AD1"/>
    <mergeCell ref="A24:F24"/>
    <mergeCell ref="G24:AD24"/>
    <mergeCell ref="A12:AD12"/>
    <mergeCell ref="B14:F14"/>
    <mergeCell ref="B16:F16"/>
    <mergeCell ref="A14:A16"/>
    <mergeCell ref="B15:F15"/>
    <mergeCell ref="G15:AD15"/>
    <mergeCell ref="B17:F17"/>
    <mergeCell ref="B18:F18"/>
    <mergeCell ref="B20:F20"/>
    <mergeCell ref="B19:F19"/>
    <mergeCell ref="G21:AD21"/>
    <mergeCell ref="G22:AD22"/>
    <mergeCell ref="A17:A20"/>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7"/>
  <sheetViews>
    <sheetView showGridLines="0" view="pageBreakPreview" zoomScaleNormal="100" zoomScaleSheetLayoutView="100" workbookViewId="0">
      <selection sqref="A1:AD1"/>
    </sheetView>
  </sheetViews>
  <sheetFormatPr defaultColWidth="3" defaultRowHeight="15" x14ac:dyDescent="0.25"/>
  <cols>
    <col min="1" max="16384" width="3" style="14"/>
  </cols>
  <sheetData>
    <row r="1" spans="1:30" ht="30" customHeight="1" x14ac:dyDescent="0.25">
      <c r="A1" s="21" t="str">
        <f xml:space="preserve"> "ACTIVITY " &amp; 'Activity Info'!G4 &amp; " — QUESTION 2"</f>
        <v>ACTIVITY PR-001 — QUESTION 2</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ht="15" customHeight="1" x14ac:dyDescent="0.25">
      <c r="A2" s="74"/>
      <c r="B2" s="74"/>
      <c r="C2" s="74"/>
      <c r="D2" s="74"/>
      <c r="E2" s="74"/>
      <c r="F2" s="74"/>
      <c r="G2" s="74"/>
      <c r="H2" s="74"/>
      <c r="I2" s="74"/>
      <c r="J2" s="74"/>
      <c r="K2" s="74"/>
      <c r="L2" s="74"/>
    </row>
    <row r="3" spans="1:30" ht="15" customHeight="1" x14ac:dyDescent="0.25">
      <c r="A3" s="75" t="s">
        <v>161</v>
      </c>
      <c r="B3" s="76"/>
      <c r="C3" s="76"/>
      <c r="D3" s="76"/>
      <c r="E3" s="76"/>
      <c r="F3" s="77"/>
      <c r="G3" s="78" t="s">
        <v>200</v>
      </c>
      <c r="H3" s="78"/>
      <c r="I3" s="78"/>
      <c r="J3" s="78"/>
      <c r="K3" s="78"/>
      <c r="L3" s="78"/>
      <c r="M3" s="78"/>
      <c r="N3" s="78"/>
      <c r="O3" s="78"/>
      <c r="P3" s="78"/>
      <c r="Q3" s="78"/>
      <c r="R3" s="78"/>
      <c r="S3" s="78"/>
      <c r="T3" s="78"/>
      <c r="U3" s="78"/>
      <c r="V3" s="78"/>
      <c r="W3" s="78"/>
      <c r="X3" s="78"/>
      <c r="Y3" s="78"/>
      <c r="Z3" s="78"/>
      <c r="AA3" s="78"/>
      <c r="AB3" s="78"/>
      <c r="AC3" s="78"/>
      <c r="AD3" s="79"/>
    </row>
    <row r="4" spans="1:30" ht="52.5" customHeight="1" x14ac:dyDescent="0.25">
      <c r="A4" s="51" t="s">
        <v>194</v>
      </c>
      <c r="B4" s="38"/>
      <c r="C4" s="38"/>
      <c r="D4" s="38"/>
      <c r="E4" s="38"/>
      <c r="F4" s="39"/>
      <c r="G4" s="48" t="str">
        <f>IF('Activity Info'!D37&lt;&gt;"",VLOOKUP('Activity Info'!D37,'Activity Info'!A28:G32,7),"")</f>
        <v>The student will be able to explain why activated-sludge biomass cannot be retained in a continuous-flow aerated reactor without solids separation and how secondary sedimentation with return activated sludge enables biomass retention.</v>
      </c>
      <c r="H4" s="48"/>
      <c r="I4" s="48"/>
      <c r="J4" s="48"/>
      <c r="K4" s="48"/>
      <c r="L4" s="48"/>
      <c r="M4" s="48"/>
      <c r="N4" s="48"/>
      <c r="O4" s="48"/>
      <c r="P4" s="48"/>
      <c r="Q4" s="48"/>
      <c r="R4" s="48"/>
      <c r="S4" s="48"/>
      <c r="T4" s="48"/>
      <c r="U4" s="48"/>
      <c r="V4" s="48"/>
      <c r="W4" s="48"/>
      <c r="X4" s="48"/>
      <c r="Y4" s="48"/>
      <c r="Z4" s="48"/>
      <c r="AA4" s="48"/>
      <c r="AB4" s="48"/>
      <c r="AC4" s="48"/>
      <c r="AD4" s="49"/>
    </row>
    <row r="5" spans="1:30" ht="15" customHeight="1" x14ac:dyDescent="0.25">
      <c r="A5" s="65" t="s">
        <v>2</v>
      </c>
      <c r="B5" s="66"/>
      <c r="C5" s="66"/>
      <c r="D5" s="66"/>
      <c r="E5" s="66"/>
      <c r="F5" s="67"/>
      <c r="G5" s="68" t="str">
        <f>IF('Activity Info'!H37&lt;&gt;"",'Activity Info'!H37,"")</f>
        <v>PO-6</v>
      </c>
      <c r="H5" s="68"/>
      <c r="I5" s="68"/>
      <c r="J5" s="68"/>
      <c r="K5" s="68"/>
      <c r="L5" s="68"/>
      <c r="M5" s="68"/>
      <c r="N5" s="68"/>
      <c r="O5" s="68"/>
      <c r="P5" s="68"/>
      <c r="Q5" s="68"/>
      <c r="R5" s="68"/>
      <c r="S5" s="68"/>
      <c r="T5" s="68"/>
      <c r="U5" s="68"/>
      <c r="V5" s="68"/>
      <c r="W5" s="68"/>
      <c r="X5" s="68"/>
      <c r="Y5" s="68"/>
      <c r="Z5" s="68"/>
      <c r="AA5" s="68"/>
      <c r="AB5" s="68"/>
      <c r="AC5" s="68"/>
      <c r="AD5" s="69"/>
    </row>
    <row r="6" spans="1:30" ht="15" customHeight="1" x14ac:dyDescent="0.25">
      <c r="A6" s="65" t="s">
        <v>4</v>
      </c>
      <c r="B6" s="66"/>
      <c r="C6" s="66"/>
      <c r="D6" s="66"/>
      <c r="E6" s="66"/>
      <c r="F6" s="67"/>
      <c r="G6" s="68" t="str">
        <f>IF('Activity Info'!N37&lt;&gt;"",'Activity Info'!N37,"")</f>
        <v>PO-1</v>
      </c>
      <c r="H6" s="68"/>
      <c r="I6" s="68"/>
      <c r="J6" s="68"/>
      <c r="K6" s="68"/>
      <c r="L6" s="68"/>
      <c r="M6" s="68"/>
      <c r="N6" s="68"/>
      <c r="O6" s="68"/>
      <c r="P6" s="68"/>
      <c r="Q6" s="68"/>
      <c r="R6" s="68"/>
      <c r="S6" s="68"/>
      <c r="T6" s="68"/>
      <c r="U6" s="68"/>
      <c r="V6" s="68"/>
      <c r="W6" s="68"/>
      <c r="X6" s="68"/>
      <c r="Y6" s="68"/>
      <c r="Z6" s="68"/>
      <c r="AA6" s="68"/>
      <c r="AB6" s="68"/>
      <c r="AC6" s="68"/>
      <c r="AD6" s="69"/>
    </row>
    <row r="7" spans="1:30" ht="15" customHeight="1" x14ac:dyDescent="0.25">
      <c r="A7" s="65" t="s">
        <v>6</v>
      </c>
      <c r="B7" s="66"/>
      <c r="C7" s="66"/>
      <c r="D7" s="66"/>
      <c r="E7" s="66"/>
      <c r="F7" s="67"/>
      <c r="G7" s="68" t="str">
        <f>IF('Activity Info'!T37&lt;&gt;"",'Activity Info'!T37,"")</f>
        <v>PÇ-1.2</v>
      </c>
      <c r="H7" s="68"/>
      <c r="I7" s="68"/>
      <c r="J7" s="68"/>
      <c r="K7" s="68"/>
      <c r="L7" s="68"/>
      <c r="M7" s="68"/>
      <c r="N7" s="68"/>
      <c r="O7" s="68"/>
      <c r="P7" s="68"/>
      <c r="Q7" s="68"/>
      <c r="R7" s="68"/>
      <c r="S7" s="68"/>
      <c r="T7" s="68"/>
      <c r="U7" s="68"/>
      <c r="V7" s="68"/>
      <c r="W7" s="68"/>
      <c r="X7" s="68"/>
      <c r="Y7" s="68"/>
      <c r="Z7" s="68"/>
      <c r="AA7" s="68"/>
      <c r="AB7" s="68"/>
      <c r="AC7" s="68"/>
      <c r="AD7" s="69"/>
    </row>
    <row r="8" spans="1:30" ht="15" customHeight="1" x14ac:dyDescent="0.25">
      <c r="A8" s="58" t="s">
        <v>174</v>
      </c>
      <c r="B8" s="59"/>
      <c r="C8" s="59"/>
      <c r="D8" s="59"/>
      <c r="E8" s="59"/>
      <c r="F8" s="60"/>
      <c r="G8" s="61" t="str">
        <f>IF('Activity Info'!Z37&lt;&gt;"",'Activity Info'!Z37,"")</f>
        <v>Understand</v>
      </c>
      <c r="H8" s="61"/>
      <c r="I8" s="61"/>
      <c r="J8" s="61"/>
      <c r="K8" s="61"/>
      <c r="L8" s="61"/>
      <c r="M8" s="61"/>
      <c r="N8" s="61"/>
      <c r="O8" s="61"/>
      <c r="P8" s="61"/>
      <c r="Q8" s="61"/>
      <c r="R8" s="61"/>
      <c r="S8" s="61"/>
      <c r="T8" s="61"/>
      <c r="U8" s="61"/>
      <c r="V8" s="61"/>
      <c r="W8" s="61"/>
      <c r="X8" s="61"/>
      <c r="Y8" s="61"/>
      <c r="Z8" s="61"/>
      <c r="AA8" s="61"/>
      <c r="AB8" s="61"/>
      <c r="AC8" s="61"/>
      <c r="AD8" s="62"/>
    </row>
    <row r="9" spans="1:30" ht="15" customHeight="1" x14ac:dyDescent="0.25">
      <c r="A9" s="63"/>
      <c r="B9" s="63"/>
      <c r="C9" s="63"/>
      <c r="D9" s="63"/>
      <c r="E9" s="63"/>
      <c r="F9" s="63"/>
      <c r="G9" s="64"/>
      <c r="H9" s="64"/>
      <c r="I9" s="64"/>
      <c r="J9" s="64"/>
      <c r="K9" s="64"/>
      <c r="L9" s="64"/>
      <c r="M9" s="64"/>
      <c r="N9" s="64"/>
      <c r="O9" s="64"/>
      <c r="P9" s="64"/>
      <c r="Q9" s="64"/>
      <c r="R9" s="64"/>
      <c r="S9" s="64"/>
      <c r="T9" s="64"/>
      <c r="U9" s="64"/>
      <c r="V9" s="64"/>
      <c r="W9" s="64"/>
      <c r="X9" s="64"/>
      <c r="Y9" s="64"/>
      <c r="Z9" s="64"/>
      <c r="AA9" s="64"/>
      <c r="AB9" s="64"/>
      <c r="AC9" s="64"/>
      <c r="AD9" s="64"/>
    </row>
    <row r="10" spans="1:30" ht="97.5" customHeight="1" x14ac:dyDescent="0.25">
      <c r="A10" s="22" t="s">
        <v>195</v>
      </c>
      <c r="B10" s="22"/>
      <c r="C10" s="22"/>
      <c r="D10" s="22"/>
      <c r="E10" s="22"/>
      <c r="F10" s="22"/>
      <c r="G10" s="23" t="s">
        <v>222</v>
      </c>
      <c r="H10" s="23"/>
      <c r="I10" s="23"/>
      <c r="J10" s="23"/>
      <c r="K10" s="23"/>
      <c r="L10" s="23"/>
      <c r="M10" s="23"/>
      <c r="N10" s="23"/>
      <c r="O10" s="23"/>
      <c r="P10" s="23"/>
      <c r="Q10" s="23"/>
      <c r="R10" s="23"/>
      <c r="S10" s="23"/>
      <c r="T10" s="23"/>
      <c r="U10" s="23"/>
      <c r="V10" s="23"/>
      <c r="W10" s="23"/>
      <c r="X10" s="23"/>
      <c r="Y10" s="23"/>
      <c r="Z10" s="23"/>
      <c r="AA10" s="23"/>
      <c r="AB10" s="23"/>
      <c r="AC10" s="23"/>
      <c r="AD10" s="23"/>
    </row>
    <row r="11" spans="1:30" ht="15" customHeight="1" x14ac:dyDescent="0.25">
      <c r="A11" s="15"/>
      <c r="B11" s="15"/>
      <c r="C11" s="15"/>
      <c r="D11" s="15"/>
      <c r="E11" s="15"/>
      <c r="F11" s="15"/>
      <c r="G11" s="15"/>
      <c r="H11" s="15"/>
      <c r="I11" s="15"/>
      <c r="J11" s="15"/>
      <c r="K11" s="15"/>
      <c r="L11" s="15"/>
    </row>
    <row r="12" spans="1:30" ht="15" customHeight="1" x14ac:dyDescent="0.25">
      <c r="A12" s="24" t="s">
        <v>201</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6"/>
    </row>
    <row r="13" spans="1:30" ht="15" customHeight="1" x14ac:dyDescent="0.25">
      <c r="A13" s="80" t="s">
        <v>197</v>
      </c>
      <c r="B13" s="81"/>
      <c r="C13" s="81"/>
      <c r="D13" s="81"/>
      <c r="E13" s="81"/>
      <c r="F13" s="82"/>
      <c r="G13" s="83" t="s">
        <v>223</v>
      </c>
      <c r="H13" s="83"/>
      <c r="I13" s="83"/>
      <c r="J13" s="83"/>
      <c r="K13" s="83"/>
      <c r="L13" s="83"/>
      <c r="M13" s="83"/>
      <c r="N13" s="83"/>
      <c r="O13" s="83"/>
      <c r="P13" s="83"/>
      <c r="Q13" s="83"/>
      <c r="R13" s="83"/>
      <c r="S13" s="83"/>
      <c r="T13" s="83"/>
      <c r="U13" s="83"/>
      <c r="V13" s="83"/>
      <c r="W13" s="83"/>
      <c r="X13" s="83"/>
      <c r="Y13" s="83"/>
      <c r="Z13" s="83"/>
      <c r="AA13" s="83"/>
      <c r="AB13" s="83"/>
      <c r="AC13" s="83"/>
      <c r="AD13" s="84"/>
    </row>
    <row r="14" spans="1:30" ht="15" customHeight="1" x14ac:dyDescent="0.25">
      <c r="A14" s="31" t="s">
        <v>203</v>
      </c>
      <c r="B14" s="27" t="s">
        <v>207</v>
      </c>
      <c r="C14" s="27"/>
      <c r="D14" s="27"/>
      <c r="E14" s="27"/>
      <c r="F14" s="28"/>
      <c r="G14" s="52" t="s">
        <v>204</v>
      </c>
      <c r="H14" s="52"/>
      <c r="I14" s="52"/>
      <c r="J14" s="52"/>
      <c r="K14" s="52"/>
      <c r="L14" s="52"/>
      <c r="M14" s="52"/>
      <c r="N14" s="52"/>
      <c r="O14" s="52"/>
      <c r="P14" s="52"/>
      <c r="Q14" s="52"/>
      <c r="R14" s="52"/>
      <c r="S14" s="52"/>
      <c r="T14" s="52"/>
      <c r="U14" s="52"/>
      <c r="V14" s="52"/>
      <c r="W14" s="52"/>
      <c r="X14" s="52"/>
      <c r="Y14" s="52"/>
      <c r="Z14" s="52"/>
      <c r="AA14" s="52"/>
      <c r="AB14" s="52"/>
      <c r="AC14" s="52"/>
      <c r="AD14" s="53"/>
    </row>
    <row r="15" spans="1:30" ht="15" customHeight="1" x14ac:dyDescent="0.25">
      <c r="A15" s="32"/>
      <c r="B15" s="34" t="s">
        <v>206</v>
      </c>
      <c r="C15" s="34"/>
      <c r="D15" s="34"/>
      <c r="E15" s="34"/>
      <c r="F15" s="35"/>
      <c r="G15" s="36" t="s">
        <v>208</v>
      </c>
      <c r="H15" s="36"/>
      <c r="I15" s="36"/>
      <c r="J15" s="36"/>
      <c r="K15" s="36"/>
      <c r="L15" s="36"/>
      <c r="M15" s="36"/>
      <c r="N15" s="36"/>
      <c r="O15" s="36"/>
      <c r="P15" s="36"/>
      <c r="Q15" s="36"/>
      <c r="R15" s="36"/>
      <c r="S15" s="36"/>
      <c r="T15" s="36"/>
      <c r="U15" s="36"/>
      <c r="V15" s="36"/>
      <c r="W15" s="36"/>
      <c r="X15" s="36"/>
      <c r="Y15" s="36"/>
      <c r="Z15" s="36"/>
      <c r="AA15" s="36"/>
      <c r="AB15" s="36"/>
      <c r="AC15" s="36"/>
      <c r="AD15" s="37"/>
    </row>
    <row r="16" spans="1:30" ht="30" customHeight="1" x14ac:dyDescent="0.25">
      <c r="A16" s="33"/>
      <c r="B16" s="29" t="s">
        <v>202</v>
      </c>
      <c r="C16" s="29"/>
      <c r="D16" s="29"/>
      <c r="E16" s="29"/>
      <c r="F16" s="30"/>
      <c r="G16" s="54" t="s">
        <v>205</v>
      </c>
      <c r="H16" s="54"/>
      <c r="I16" s="54"/>
      <c r="J16" s="54"/>
      <c r="K16" s="54"/>
      <c r="L16" s="54"/>
      <c r="M16" s="54"/>
      <c r="N16" s="54"/>
      <c r="O16" s="54"/>
      <c r="P16" s="54"/>
      <c r="Q16" s="54"/>
      <c r="R16" s="54"/>
      <c r="S16" s="54"/>
      <c r="T16" s="54"/>
      <c r="U16" s="54"/>
      <c r="V16" s="54"/>
      <c r="W16" s="54"/>
      <c r="X16" s="54"/>
      <c r="Y16" s="54"/>
      <c r="Z16" s="54"/>
      <c r="AA16" s="54"/>
      <c r="AB16" s="54"/>
      <c r="AC16" s="54"/>
      <c r="AD16" s="55"/>
    </row>
    <row r="17" spans="1:30" ht="15" customHeight="1" x14ac:dyDescent="0.25">
      <c r="A17" s="45" t="s">
        <v>217</v>
      </c>
      <c r="B17" s="38" t="s">
        <v>209</v>
      </c>
      <c r="C17" s="38"/>
      <c r="D17" s="38"/>
      <c r="E17" s="38"/>
      <c r="F17" s="39"/>
      <c r="G17" s="56" t="s">
        <v>213</v>
      </c>
      <c r="H17" s="56"/>
      <c r="I17" s="56"/>
      <c r="J17" s="56"/>
      <c r="K17" s="56"/>
      <c r="L17" s="56"/>
      <c r="M17" s="56"/>
      <c r="N17" s="56"/>
      <c r="O17" s="56"/>
      <c r="P17" s="56"/>
      <c r="Q17" s="56"/>
      <c r="R17" s="56"/>
      <c r="S17" s="56"/>
      <c r="T17" s="56"/>
      <c r="U17" s="56"/>
      <c r="V17" s="56"/>
      <c r="W17" s="56"/>
      <c r="X17" s="56"/>
      <c r="Y17" s="56"/>
      <c r="Z17" s="56"/>
      <c r="AA17" s="56"/>
      <c r="AB17" s="56"/>
      <c r="AC17" s="56"/>
      <c r="AD17" s="57"/>
    </row>
    <row r="18" spans="1:30" ht="15" customHeight="1" x14ac:dyDescent="0.25">
      <c r="A18" s="46"/>
      <c r="B18" s="38" t="s">
        <v>210</v>
      </c>
      <c r="C18" s="38"/>
      <c r="D18" s="38"/>
      <c r="E18" s="38"/>
      <c r="F18" s="39"/>
      <c r="G18" s="48" t="s">
        <v>214</v>
      </c>
      <c r="H18" s="48"/>
      <c r="I18" s="48"/>
      <c r="J18" s="48"/>
      <c r="K18" s="48"/>
      <c r="L18" s="48"/>
      <c r="M18" s="48"/>
      <c r="N18" s="48"/>
      <c r="O18" s="48"/>
      <c r="P18" s="48"/>
      <c r="Q18" s="48"/>
      <c r="R18" s="48"/>
      <c r="S18" s="48"/>
      <c r="T18" s="48"/>
      <c r="U18" s="48"/>
      <c r="V18" s="48"/>
      <c r="W18" s="48"/>
      <c r="X18" s="48"/>
      <c r="Y18" s="48"/>
      <c r="Z18" s="48"/>
      <c r="AA18" s="48"/>
      <c r="AB18" s="48"/>
      <c r="AC18" s="48"/>
      <c r="AD18" s="49"/>
    </row>
    <row r="19" spans="1:30" ht="15" customHeight="1" x14ac:dyDescent="0.25">
      <c r="A19" s="46"/>
      <c r="B19" s="38" t="s">
        <v>215</v>
      </c>
      <c r="C19" s="38"/>
      <c r="D19" s="38"/>
      <c r="E19" s="38"/>
      <c r="F19" s="39"/>
      <c r="G19" s="48" t="s">
        <v>216</v>
      </c>
      <c r="H19" s="48"/>
      <c r="I19" s="48"/>
      <c r="J19" s="48"/>
      <c r="K19" s="48"/>
      <c r="L19" s="48"/>
      <c r="M19" s="48"/>
      <c r="N19" s="48"/>
      <c r="O19" s="48"/>
      <c r="P19" s="48"/>
      <c r="Q19" s="48"/>
      <c r="R19" s="48"/>
      <c r="S19" s="48"/>
      <c r="T19" s="48"/>
      <c r="U19" s="48"/>
      <c r="V19" s="48"/>
      <c r="W19" s="48"/>
      <c r="X19" s="48"/>
      <c r="Y19" s="48"/>
      <c r="Z19" s="48"/>
      <c r="AA19" s="48"/>
      <c r="AB19" s="48"/>
      <c r="AC19" s="48"/>
      <c r="AD19" s="49"/>
    </row>
    <row r="20" spans="1:30" ht="30" customHeight="1" x14ac:dyDescent="0.25">
      <c r="A20" s="47"/>
      <c r="B20" s="38" t="s">
        <v>211</v>
      </c>
      <c r="C20" s="38"/>
      <c r="D20" s="38"/>
      <c r="E20" s="38"/>
      <c r="F20" s="39"/>
      <c r="G20" s="50" t="s">
        <v>212</v>
      </c>
      <c r="H20" s="40"/>
      <c r="I20" s="40"/>
      <c r="J20" s="40"/>
      <c r="K20" s="40"/>
      <c r="L20" s="40"/>
      <c r="M20" s="40"/>
      <c r="N20" s="40"/>
      <c r="O20" s="40"/>
      <c r="P20" s="40"/>
      <c r="Q20" s="40"/>
      <c r="R20" s="40"/>
      <c r="S20" s="40"/>
      <c r="T20" s="40"/>
      <c r="U20" s="40"/>
      <c r="V20" s="40"/>
      <c r="W20" s="40"/>
      <c r="X20" s="40"/>
      <c r="Y20" s="40"/>
      <c r="Z20" s="40"/>
      <c r="AA20" s="40"/>
      <c r="AB20" s="40"/>
      <c r="AC20" s="40"/>
      <c r="AD20" s="41"/>
    </row>
    <row r="21" spans="1:30" ht="15" customHeight="1" x14ac:dyDescent="0.25">
      <c r="A21" s="45" t="s">
        <v>226</v>
      </c>
      <c r="B21" s="38" t="s">
        <v>209</v>
      </c>
      <c r="C21" s="38"/>
      <c r="D21" s="38"/>
      <c r="E21" s="38"/>
      <c r="F21" s="39"/>
      <c r="G21" s="56" t="s">
        <v>224</v>
      </c>
      <c r="H21" s="56"/>
      <c r="I21" s="56"/>
      <c r="J21" s="56"/>
      <c r="K21" s="56"/>
      <c r="L21" s="56"/>
      <c r="M21" s="56"/>
      <c r="N21" s="56"/>
      <c r="O21" s="56"/>
      <c r="P21" s="56"/>
      <c r="Q21" s="56"/>
      <c r="R21" s="56"/>
      <c r="S21" s="56"/>
      <c r="T21" s="56"/>
      <c r="U21" s="56"/>
      <c r="V21" s="56"/>
      <c r="W21" s="56"/>
      <c r="X21" s="56"/>
      <c r="Y21" s="56"/>
      <c r="Z21" s="56"/>
      <c r="AA21" s="56"/>
      <c r="AB21" s="56"/>
      <c r="AC21" s="56"/>
      <c r="AD21" s="57"/>
    </row>
    <row r="22" spans="1:30" ht="15" customHeight="1" x14ac:dyDescent="0.25">
      <c r="A22" s="46"/>
      <c r="B22" s="38" t="s">
        <v>210</v>
      </c>
      <c r="C22" s="38"/>
      <c r="D22" s="38"/>
      <c r="E22" s="38"/>
      <c r="F22" s="39"/>
      <c r="G22" s="56" t="s">
        <v>233</v>
      </c>
      <c r="H22" s="56"/>
      <c r="I22" s="56"/>
      <c r="J22" s="56"/>
      <c r="K22" s="56"/>
      <c r="L22" s="56"/>
      <c r="M22" s="56"/>
      <c r="N22" s="56"/>
      <c r="O22" s="56"/>
      <c r="P22" s="56"/>
      <c r="Q22" s="56"/>
      <c r="R22" s="56"/>
      <c r="S22" s="56"/>
      <c r="T22" s="56"/>
      <c r="U22" s="56"/>
      <c r="V22" s="56"/>
      <c r="W22" s="56"/>
      <c r="X22" s="56"/>
      <c r="Y22" s="56"/>
      <c r="Z22" s="56"/>
      <c r="AA22" s="56"/>
      <c r="AB22" s="56"/>
      <c r="AC22" s="56"/>
      <c r="AD22" s="57"/>
    </row>
    <row r="23" spans="1:30" ht="15" customHeight="1" x14ac:dyDescent="0.25">
      <c r="A23" s="46"/>
      <c r="B23" s="38" t="s">
        <v>225</v>
      </c>
      <c r="C23" s="38"/>
      <c r="D23" s="38"/>
      <c r="E23" s="38"/>
      <c r="F23" s="39"/>
      <c r="G23" s="56">
        <v>5</v>
      </c>
      <c r="H23" s="56"/>
      <c r="I23" s="56"/>
      <c r="J23" s="56"/>
      <c r="K23" s="56"/>
      <c r="L23" s="56"/>
      <c r="M23" s="56"/>
      <c r="N23" s="56"/>
      <c r="O23" s="56"/>
      <c r="P23" s="56"/>
      <c r="Q23" s="56"/>
      <c r="R23" s="56"/>
      <c r="S23" s="56"/>
      <c r="T23" s="56"/>
      <c r="U23" s="56"/>
      <c r="V23" s="56"/>
      <c r="W23" s="56"/>
      <c r="X23" s="56"/>
      <c r="Y23" s="56"/>
      <c r="Z23" s="56"/>
      <c r="AA23" s="56"/>
      <c r="AB23" s="56"/>
      <c r="AC23" s="56"/>
      <c r="AD23" s="57"/>
    </row>
    <row r="24" spans="1:30" ht="15" customHeight="1" x14ac:dyDescent="0.25">
      <c r="A24" s="177" t="s">
        <v>231</v>
      </c>
      <c r="B24" s="178"/>
      <c r="C24" s="178"/>
      <c r="D24" s="178"/>
      <c r="E24" s="178"/>
      <c r="F24" s="179"/>
      <c r="G24" s="17" t="s">
        <v>232</v>
      </c>
      <c r="H24" s="17"/>
      <c r="I24" s="17"/>
      <c r="J24" s="17"/>
      <c r="K24" s="17"/>
      <c r="L24" s="17"/>
      <c r="M24" s="17"/>
      <c r="N24" s="17"/>
      <c r="O24" s="17"/>
      <c r="P24" s="17"/>
      <c r="Q24" s="17"/>
      <c r="R24" s="17"/>
      <c r="S24" s="17"/>
      <c r="T24" s="17"/>
      <c r="U24" s="17"/>
      <c r="V24" s="17"/>
      <c r="W24" s="17"/>
      <c r="X24" s="17"/>
      <c r="Y24" s="17"/>
      <c r="Z24" s="17"/>
      <c r="AA24" s="17"/>
      <c r="AB24" s="17"/>
      <c r="AC24" s="17"/>
      <c r="AD24" s="18"/>
    </row>
    <row r="25" spans="1:30" ht="15" customHeight="1" x14ac:dyDescent="0.25">
      <c r="A25" s="51" t="s">
        <v>218</v>
      </c>
      <c r="B25" s="38"/>
      <c r="C25" s="38"/>
      <c r="D25" s="38"/>
      <c r="E25" s="38"/>
      <c r="F25" s="39"/>
      <c r="G25" s="40" t="s">
        <v>227</v>
      </c>
      <c r="H25" s="40"/>
      <c r="I25" s="40"/>
      <c r="J25" s="40"/>
      <c r="K25" s="40"/>
      <c r="L25" s="40"/>
      <c r="M25" s="40"/>
      <c r="N25" s="40"/>
      <c r="O25" s="40"/>
      <c r="P25" s="40"/>
      <c r="Q25" s="40"/>
      <c r="R25" s="40"/>
      <c r="S25" s="40"/>
      <c r="T25" s="40"/>
      <c r="U25" s="40"/>
      <c r="V25" s="40"/>
      <c r="W25" s="40"/>
      <c r="X25" s="40"/>
      <c r="Y25" s="40"/>
      <c r="Z25" s="40"/>
      <c r="AA25" s="40"/>
      <c r="AB25" s="40"/>
      <c r="AC25" s="40"/>
      <c r="AD25" s="41"/>
    </row>
    <row r="26" spans="1:30" ht="132" customHeight="1" x14ac:dyDescent="0.25">
      <c r="A26" s="71" t="s">
        <v>198</v>
      </c>
      <c r="B26" s="72"/>
      <c r="C26" s="72"/>
      <c r="D26" s="72"/>
      <c r="E26" s="72"/>
      <c r="F26" s="73"/>
      <c r="G26" s="42" t="s">
        <v>219</v>
      </c>
      <c r="H26" s="43"/>
      <c r="I26" s="43"/>
      <c r="J26" s="43"/>
      <c r="K26" s="43"/>
      <c r="L26" s="43"/>
      <c r="M26" s="43"/>
      <c r="N26" s="43"/>
      <c r="O26" s="43"/>
      <c r="P26" s="43"/>
      <c r="Q26" s="43"/>
      <c r="R26" s="43"/>
      <c r="S26" s="43"/>
      <c r="T26" s="43"/>
      <c r="U26" s="43"/>
      <c r="V26" s="43"/>
      <c r="W26" s="43"/>
      <c r="X26" s="43"/>
      <c r="Y26" s="43"/>
      <c r="Z26" s="43"/>
      <c r="AA26" s="43"/>
      <c r="AB26" s="43"/>
      <c r="AC26" s="43"/>
      <c r="AD26" s="44"/>
    </row>
    <row r="27" spans="1:30" ht="15"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row>
    <row r="28" spans="1:30" ht="204" customHeight="1" x14ac:dyDescent="0.25">
      <c r="A28" s="22" t="s">
        <v>199</v>
      </c>
      <c r="B28" s="22"/>
      <c r="C28" s="22"/>
      <c r="D28" s="22"/>
      <c r="E28" s="22"/>
      <c r="F28" s="22"/>
      <c r="G28" s="23" t="s">
        <v>229</v>
      </c>
      <c r="H28" s="23"/>
      <c r="I28" s="23"/>
      <c r="J28" s="23"/>
      <c r="K28" s="23"/>
      <c r="L28" s="23"/>
      <c r="M28" s="23"/>
      <c r="N28" s="23"/>
      <c r="O28" s="23"/>
      <c r="P28" s="23"/>
      <c r="Q28" s="23"/>
      <c r="R28" s="23"/>
      <c r="S28" s="23"/>
      <c r="T28" s="23"/>
      <c r="U28" s="23"/>
      <c r="V28" s="23"/>
      <c r="W28" s="23"/>
      <c r="X28" s="23"/>
      <c r="Y28" s="23"/>
      <c r="Z28" s="23"/>
      <c r="AA28" s="23"/>
      <c r="AB28" s="23"/>
      <c r="AC28" s="23"/>
      <c r="AD28" s="23"/>
    </row>
    <row r="29" spans="1:30" ht="15" customHeight="1" x14ac:dyDescent="0.25">
      <c r="A29" s="20"/>
      <c r="B29" s="20"/>
      <c r="C29" s="20"/>
      <c r="D29" s="20"/>
      <c r="E29" s="20"/>
      <c r="F29" s="20"/>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spans="1:30" ht="131.25" customHeight="1" x14ac:dyDescent="0.25">
      <c r="A30" s="22" t="s">
        <v>220</v>
      </c>
      <c r="B30" s="22"/>
      <c r="C30" s="22"/>
      <c r="D30" s="22"/>
      <c r="E30" s="22"/>
      <c r="F30" s="22"/>
      <c r="G30" s="70" t="s">
        <v>230</v>
      </c>
      <c r="H30" s="70"/>
      <c r="I30" s="70"/>
      <c r="J30" s="70"/>
      <c r="K30" s="70"/>
      <c r="L30" s="70"/>
      <c r="M30" s="70"/>
      <c r="N30" s="70"/>
      <c r="O30" s="70"/>
      <c r="P30" s="70"/>
      <c r="Q30" s="70"/>
      <c r="R30" s="70"/>
      <c r="S30" s="70"/>
      <c r="T30" s="70"/>
      <c r="U30" s="70"/>
      <c r="V30" s="70"/>
      <c r="W30" s="70"/>
      <c r="X30" s="70"/>
      <c r="Y30" s="70"/>
      <c r="Z30" s="70"/>
      <c r="AA30" s="70"/>
      <c r="AB30" s="70"/>
      <c r="AC30" s="70"/>
      <c r="AD30" s="70"/>
    </row>
    <row r="31" spans="1:30" ht="15" customHeight="1" x14ac:dyDescent="0.25"/>
    <row r="32" spans="1:30" ht="15" customHeight="1" x14ac:dyDescent="0.25"/>
    <row r="33" s="14" customFormat="1" ht="15" customHeight="1" x14ac:dyDescent="0.25"/>
    <row r="34" s="14" customFormat="1" ht="15" customHeight="1" x14ac:dyDescent="0.25"/>
    <row r="35" s="14" customFormat="1" ht="15" customHeight="1" x14ac:dyDescent="0.25"/>
    <row r="36" s="14" customFormat="1" ht="15" customHeight="1" x14ac:dyDescent="0.25"/>
    <row r="37" s="14" customFormat="1" ht="15" customHeight="1" x14ac:dyDescent="0.25"/>
    <row r="38" s="14" customFormat="1" ht="15" customHeight="1" x14ac:dyDescent="0.25"/>
    <row r="39" s="14" customFormat="1" ht="15" customHeight="1" x14ac:dyDescent="0.25"/>
    <row r="40" s="14" customFormat="1" ht="15" customHeight="1" x14ac:dyDescent="0.25"/>
    <row r="41" s="14" customFormat="1" ht="15" customHeight="1" x14ac:dyDescent="0.25"/>
    <row r="42" s="14" customFormat="1" ht="15" customHeight="1" x14ac:dyDescent="0.25"/>
    <row r="43" s="14" customFormat="1" ht="15" customHeight="1" x14ac:dyDescent="0.25"/>
    <row r="44" s="14" customFormat="1" ht="15" customHeight="1" x14ac:dyDescent="0.25"/>
    <row r="45" s="14" customFormat="1" ht="15" customHeight="1" x14ac:dyDescent="0.25"/>
    <row r="46" s="14" customFormat="1" ht="15" customHeight="1" x14ac:dyDescent="0.25"/>
    <row r="47" s="14" customFormat="1" ht="15" customHeight="1" x14ac:dyDescent="0.25"/>
    <row r="48" s="14" customFormat="1" ht="15" customHeight="1" x14ac:dyDescent="0.25"/>
    <row r="49" s="14" customFormat="1" ht="15" customHeight="1" x14ac:dyDescent="0.25"/>
    <row r="50" s="14" customFormat="1" ht="15" customHeight="1" x14ac:dyDescent="0.25"/>
    <row r="51" s="14" customFormat="1" ht="15" customHeight="1" x14ac:dyDescent="0.25"/>
    <row r="52" s="14" customFormat="1" ht="15" customHeight="1" x14ac:dyDescent="0.25"/>
    <row r="53" s="14" customFormat="1" ht="15" customHeight="1" x14ac:dyDescent="0.25"/>
    <row r="54" s="14" customFormat="1" ht="15" customHeight="1" x14ac:dyDescent="0.25"/>
    <row r="55" s="14" customFormat="1" ht="15" customHeight="1" x14ac:dyDescent="0.25"/>
    <row r="56" s="14" customFormat="1" ht="15" customHeight="1" x14ac:dyDescent="0.25"/>
    <row r="57" s="14" customFormat="1" ht="15" customHeight="1" x14ac:dyDescent="0.25"/>
  </sheetData>
  <sheetProtection algorithmName="SHA-512" hashValue="g3D16PLWn2jXWMJmy42wQ4YMVRZXYMzqtmPcGRdiioTALJzEXvm0kfGd0P+q0XTSjdXnUNylmTkKAVw5+wBmaw==" saltValue="P9y5eIKz/LYOMPxd7Je42w==" spinCount="100000" sheet="1" objects="1" scenarios="1"/>
  <mergeCells count="53">
    <mergeCell ref="A30:F30"/>
    <mergeCell ref="G30:AD30"/>
    <mergeCell ref="A21:A23"/>
    <mergeCell ref="B21:F21"/>
    <mergeCell ref="B22:F22"/>
    <mergeCell ref="B23:F23"/>
    <mergeCell ref="G21:AD21"/>
    <mergeCell ref="G22:AD22"/>
    <mergeCell ref="G23:AD23"/>
    <mergeCell ref="A25:F25"/>
    <mergeCell ref="G25:AD25"/>
    <mergeCell ref="A26:F26"/>
    <mergeCell ref="G26:AD26"/>
    <mergeCell ref="A28:F28"/>
    <mergeCell ref="G28:AD28"/>
    <mergeCell ref="A24:F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3"/>
  <sheetViews>
    <sheetView showGridLines="0" workbookViewId="0">
      <selection sqref="A1:AD1"/>
    </sheetView>
  </sheetViews>
  <sheetFormatPr defaultColWidth="3" defaultRowHeight="15" x14ac:dyDescent="0.25"/>
  <sheetData>
    <row r="1" spans="1:30" ht="30" customHeight="1" x14ac:dyDescent="0.25">
      <c r="A1" s="180" t="str">
        <f xml:space="preserve"> "ACTIVITY " &amp; 'Activity Info'!G4 &amp; " — QUESTION 3"</f>
        <v>ACTIVITY PR-001 — QUESTION 3</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row>
    <row r="2" spans="1:30" ht="15" customHeight="1" x14ac:dyDescent="0.25">
      <c r="A2" s="187"/>
      <c r="B2" s="187"/>
      <c r="C2" s="187"/>
      <c r="D2" s="187"/>
      <c r="E2" s="187"/>
      <c r="F2" s="187"/>
      <c r="G2" s="187"/>
      <c r="H2" s="187"/>
      <c r="I2" s="187"/>
      <c r="J2" s="187"/>
      <c r="K2" s="187"/>
      <c r="L2" s="187"/>
    </row>
    <row r="3" spans="1:30" ht="15" customHeight="1" x14ac:dyDescent="0.25">
      <c r="A3" s="188" t="s">
        <v>161</v>
      </c>
      <c r="B3" s="189"/>
      <c r="C3" s="189"/>
      <c r="D3" s="189"/>
      <c r="E3" s="189"/>
      <c r="F3" s="190"/>
      <c r="G3" s="191"/>
      <c r="H3" s="191"/>
      <c r="I3" s="191"/>
      <c r="J3" s="191"/>
      <c r="K3" s="191"/>
      <c r="L3" s="191"/>
      <c r="M3" s="191"/>
      <c r="N3" s="191"/>
      <c r="O3" s="191"/>
      <c r="P3" s="191"/>
      <c r="Q3" s="191"/>
      <c r="R3" s="191"/>
      <c r="S3" s="191"/>
      <c r="T3" s="191"/>
      <c r="U3" s="191"/>
      <c r="V3" s="191"/>
      <c r="W3" s="191"/>
      <c r="X3" s="191"/>
      <c r="Y3" s="191"/>
      <c r="Z3" s="191"/>
      <c r="AA3" s="191"/>
      <c r="AB3" s="191"/>
      <c r="AC3" s="191"/>
      <c r="AD3" s="192"/>
    </row>
    <row r="4" spans="1:30" ht="52.5" customHeight="1" x14ac:dyDescent="0.25">
      <c r="A4" s="193" t="s">
        <v>194</v>
      </c>
      <c r="B4" s="181"/>
      <c r="C4" s="181"/>
      <c r="D4" s="181"/>
      <c r="E4" s="181"/>
      <c r="F4" s="182"/>
      <c r="G4" s="185" t="str">
        <f>IF('Activity Info'!D38&lt;&gt;"",VLOOKUP('Activity Info'!D38,'Activity Info'!A28:G32,7),"")</f>
        <v/>
      </c>
      <c r="H4" s="185"/>
      <c r="I4" s="185"/>
      <c r="J4" s="185"/>
      <c r="K4" s="185"/>
      <c r="L4" s="185"/>
      <c r="M4" s="185"/>
      <c r="N4" s="185"/>
      <c r="O4" s="185"/>
      <c r="P4" s="185"/>
      <c r="Q4" s="185"/>
      <c r="R4" s="185"/>
      <c r="S4" s="185"/>
      <c r="T4" s="185"/>
      <c r="U4" s="185"/>
      <c r="V4" s="185"/>
      <c r="W4" s="185"/>
      <c r="X4" s="185"/>
      <c r="Y4" s="185"/>
      <c r="Z4" s="185"/>
      <c r="AA4" s="185"/>
      <c r="AB4" s="185"/>
      <c r="AC4" s="185"/>
      <c r="AD4" s="186"/>
    </row>
    <row r="5" spans="1:30" ht="15" customHeight="1" x14ac:dyDescent="0.25">
      <c r="A5" s="194" t="s">
        <v>2</v>
      </c>
      <c r="B5" s="195"/>
      <c r="C5" s="195"/>
      <c r="D5" s="195"/>
      <c r="E5" s="195"/>
      <c r="F5" s="196"/>
      <c r="G5" s="68" t="str">
        <f>IF('Activity Info'!H38&lt;&gt;"",'Activity Info'!H38,"")</f>
        <v/>
      </c>
      <c r="H5" s="68"/>
      <c r="I5" s="68"/>
      <c r="J5" s="68"/>
      <c r="K5" s="68"/>
      <c r="L5" s="68"/>
      <c r="M5" s="68"/>
      <c r="N5" s="68"/>
      <c r="O5" s="68"/>
      <c r="P5" s="68"/>
      <c r="Q5" s="68"/>
      <c r="R5" s="68"/>
      <c r="S5" s="68"/>
      <c r="T5" s="68"/>
      <c r="U5" s="68"/>
      <c r="V5" s="68"/>
      <c r="W5" s="68"/>
      <c r="X5" s="68"/>
      <c r="Y5" s="68"/>
      <c r="Z5" s="68"/>
      <c r="AA5" s="68"/>
      <c r="AB5" s="68"/>
      <c r="AC5" s="68"/>
      <c r="AD5" s="69"/>
    </row>
    <row r="6" spans="1:30" ht="15" customHeight="1" x14ac:dyDescent="0.25">
      <c r="A6" s="194" t="s">
        <v>4</v>
      </c>
      <c r="B6" s="195"/>
      <c r="C6" s="195"/>
      <c r="D6" s="195"/>
      <c r="E6" s="195"/>
      <c r="F6" s="196"/>
      <c r="G6" s="68" t="str">
        <f>IF('Activity Info'!N38&lt;&gt;"",'Activity Info'!N38,"")</f>
        <v/>
      </c>
      <c r="H6" s="68"/>
      <c r="I6" s="68"/>
      <c r="J6" s="68"/>
      <c r="K6" s="68"/>
      <c r="L6" s="68"/>
      <c r="M6" s="68"/>
      <c r="N6" s="68"/>
      <c r="O6" s="68"/>
      <c r="P6" s="68"/>
      <c r="Q6" s="68"/>
      <c r="R6" s="68"/>
      <c r="S6" s="68"/>
      <c r="T6" s="68"/>
      <c r="U6" s="68"/>
      <c r="V6" s="68"/>
      <c r="W6" s="68"/>
      <c r="X6" s="68"/>
      <c r="Y6" s="68"/>
      <c r="Z6" s="68"/>
      <c r="AA6" s="68"/>
      <c r="AB6" s="68"/>
      <c r="AC6" s="68"/>
      <c r="AD6" s="69"/>
    </row>
    <row r="7" spans="1:30" ht="15" customHeight="1" x14ac:dyDescent="0.25">
      <c r="A7" s="194" t="s">
        <v>6</v>
      </c>
      <c r="B7" s="195"/>
      <c r="C7" s="195"/>
      <c r="D7" s="195"/>
      <c r="E7" s="195"/>
      <c r="F7" s="196"/>
      <c r="G7" s="68" t="str">
        <f>IF('Activity Info'!T38&lt;&gt;"",'Activity Info'!T38,"")</f>
        <v/>
      </c>
      <c r="H7" s="68"/>
      <c r="I7" s="68"/>
      <c r="J7" s="68"/>
      <c r="K7" s="68"/>
      <c r="L7" s="68"/>
      <c r="M7" s="68"/>
      <c r="N7" s="68"/>
      <c r="O7" s="68"/>
      <c r="P7" s="68"/>
      <c r="Q7" s="68"/>
      <c r="R7" s="68"/>
      <c r="S7" s="68"/>
      <c r="T7" s="68"/>
      <c r="U7" s="68"/>
      <c r="V7" s="68"/>
      <c r="W7" s="68"/>
      <c r="X7" s="68"/>
      <c r="Y7" s="68"/>
      <c r="Z7" s="68"/>
      <c r="AA7" s="68"/>
      <c r="AB7" s="68"/>
      <c r="AC7" s="68"/>
      <c r="AD7" s="69"/>
    </row>
    <row r="8" spans="1:30" ht="15" customHeight="1" x14ac:dyDescent="0.25">
      <c r="A8" s="220" t="s">
        <v>174</v>
      </c>
      <c r="B8" s="221"/>
      <c r="C8" s="221"/>
      <c r="D8" s="221"/>
      <c r="E8" s="221"/>
      <c r="F8" s="222"/>
      <c r="G8" s="61" t="str">
        <f>IF('Activity Info'!Z38&lt;&gt;"",'Activity Info'!Z38,"")</f>
        <v/>
      </c>
      <c r="H8" s="61"/>
      <c r="I8" s="61"/>
      <c r="J8" s="61"/>
      <c r="K8" s="61"/>
      <c r="L8" s="61"/>
      <c r="M8" s="61"/>
      <c r="N8" s="61"/>
      <c r="O8" s="61"/>
      <c r="P8" s="61"/>
      <c r="Q8" s="61"/>
      <c r="R8" s="61"/>
      <c r="S8" s="61"/>
      <c r="T8" s="61"/>
      <c r="U8" s="61"/>
      <c r="V8" s="61"/>
      <c r="W8" s="61"/>
      <c r="X8" s="61"/>
      <c r="Y8" s="61"/>
      <c r="Z8" s="61"/>
      <c r="AA8" s="61"/>
      <c r="AB8" s="61"/>
      <c r="AC8" s="61"/>
      <c r="AD8" s="62"/>
    </row>
    <row r="9" spans="1:30" ht="15" customHeight="1" x14ac:dyDescent="0.25">
      <c r="A9" s="223"/>
      <c r="B9" s="223"/>
      <c r="C9" s="223"/>
      <c r="D9" s="223"/>
      <c r="E9" s="223"/>
      <c r="F9" s="223"/>
      <c r="G9" s="224"/>
      <c r="H9" s="224"/>
      <c r="I9" s="224"/>
      <c r="J9" s="224"/>
      <c r="K9" s="224"/>
      <c r="L9" s="224"/>
      <c r="M9" s="224"/>
      <c r="N9" s="224"/>
      <c r="O9" s="224"/>
      <c r="P9" s="224"/>
      <c r="Q9" s="224"/>
      <c r="R9" s="224"/>
      <c r="S9" s="224"/>
      <c r="T9" s="224"/>
      <c r="U9" s="224"/>
      <c r="V9" s="224"/>
      <c r="W9" s="224"/>
      <c r="X9" s="224"/>
      <c r="Y9" s="224"/>
      <c r="Z9" s="224"/>
      <c r="AA9" s="224"/>
      <c r="AB9" s="224"/>
      <c r="AC9" s="224"/>
      <c r="AD9" s="224"/>
    </row>
    <row r="10" spans="1:30" ht="97.5" customHeight="1" x14ac:dyDescent="0.25">
      <c r="A10" s="225" t="s">
        <v>195</v>
      </c>
      <c r="B10" s="225"/>
      <c r="C10" s="225"/>
      <c r="D10" s="225"/>
      <c r="E10" s="225"/>
      <c r="F10" s="225"/>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row>
    <row r="11" spans="1:30" ht="15" customHeight="1" x14ac:dyDescent="0.25">
      <c r="A11" s="10"/>
      <c r="B11" s="10"/>
      <c r="C11" s="10"/>
      <c r="D11" s="10"/>
      <c r="E11" s="10"/>
      <c r="F11" s="10"/>
      <c r="G11" s="10"/>
      <c r="H11" s="10"/>
      <c r="I11" s="10"/>
      <c r="J11" s="10"/>
      <c r="K11" s="10"/>
      <c r="L11" s="10"/>
    </row>
    <row r="12" spans="1:30" ht="15" customHeight="1" x14ac:dyDescent="0.25">
      <c r="A12" s="197" t="s">
        <v>201</v>
      </c>
      <c r="B12" s="198"/>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9"/>
    </row>
    <row r="13" spans="1:30" ht="15" customHeight="1" x14ac:dyDescent="0.25">
      <c r="A13" s="200" t="s">
        <v>197</v>
      </c>
      <c r="B13" s="201"/>
      <c r="C13" s="201"/>
      <c r="D13" s="201"/>
      <c r="E13" s="201"/>
      <c r="F13" s="202"/>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4"/>
    </row>
    <row r="14" spans="1:30" ht="15" customHeight="1" x14ac:dyDescent="0.25">
      <c r="A14" s="205" t="s">
        <v>203</v>
      </c>
      <c r="B14" s="208" t="s">
        <v>207</v>
      </c>
      <c r="C14" s="208"/>
      <c r="D14" s="208"/>
      <c r="E14" s="208"/>
      <c r="F14" s="209"/>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1"/>
    </row>
    <row r="15" spans="1:30" ht="15" customHeight="1" x14ac:dyDescent="0.25">
      <c r="A15" s="206"/>
      <c r="B15" s="212" t="s">
        <v>206</v>
      </c>
      <c r="C15" s="212"/>
      <c r="D15" s="212"/>
      <c r="E15" s="212"/>
      <c r="F15" s="213"/>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5"/>
    </row>
    <row r="16" spans="1:30" ht="30" customHeight="1" x14ac:dyDescent="0.25">
      <c r="A16" s="207"/>
      <c r="B16" s="216" t="s">
        <v>202</v>
      </c>
      <c r="C16" s="216"/>
      <c r="D16" s="216"/>
      <c r="E16" s="216"/>
      <c r="F16" s="217"/>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9"/>
    </row>
    <row r="17" spans="1:30" ht="15" customHeight="1" x14ac:dyDescent="0.25">
      <c r="A17" s="227" t="s">
        <v>217</v>
      </c>
      <c r="B17" s="181" t="s">
        <v>209</v>
      </c>
      <c r="C17" s="181"/>
      <c r="D17" s="181"/>
      <c r="E17" s="181"/>
      <c r="F17" s="182"/>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4"/>
    </row>
    <row r="18" spans="1:30" ht="15" customHeight="1" x14ac:dyDescent="0.25">
      <c r="A18" s="228"/>
      <c r="B18" s="181" t="s">
        <v>210</v>
      </c>
      <c r="C18" s="181"/>
      <c r="D18" s="181"/>
      <c r="E18" s="181"/>
      <c r="F18" s="182"/>
      <c r="G18" s="185"/>
      <c r="H18" s="185"/>
      <c r="I18" s="185"/>
      <c r="J18" s="185"/>
      <c r="K18" s="185"/>
      <c r="L18" s="185"/>
      <c r="M18" s="185"/>
      <c r="N18" s="185"/>
      <c r="O18" s="185"/>
      <c r="P18" s="185"/>
      <c r="Q18" s="185"/>
      <c r="R18" s="185"/>
      <c r="S18" s="185"/>
      <c r="T18" s="185"/>
      <c r="U18" s="185"/>
      <c r="V18" s="185"/>
      <c r="W18" s="185"/>
      <c r="X18" s="185"/>
      <c r="Y18" s="185"/>
      <c r="Z18" s="185"/>
      <c r="AA18" s="185"/>
      <c r="AB18" s="185"/>
      <c r="AC18" s="185"/>
      <c r="AD18" s="186"/>
    </row>
    <row r="19" spans="1:30" ht="15" customHeight="1" x14ac:dyDescent="0.25">
      <c r="A19" s="228"/>
      <c r="B19" s="181" t="s">
        <v>215</v>
      </c>
      <c r="C19" s="181"/>
      <c r="D19" s="181"/>
      <c r="E19" s="181"/>
      <c r="F19" s="182"/>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6"/>
    </row>
    <row r="20" spans="1:30" ht="30" customHeight="1" x14ac:dyDescent="0.25">
      <c r="A20" s="229"/>
      <c r="B20" s="181" t="s">
        <v>211</v>
      </c>
      <c r="C20" s="181"/>
      <c r="D20" s="181"/>
      <c r="E20" s="181"/>
      <c r="F20" s="182"/>
      <c r="G20" s="230"/>
      <c r="H20" s="231"/>
      <c r="I20" s="231"/>
      <c r="J20" s="231"/>
      <c r="K20" s="231"/>
      <c r="L20" s="231"/>
      <c r="M20" s="231"/>
      <c r="N20" s="231"/>
      <c r="O20" s="231"/>
      <c r="P20" s="231"/>
      <c r="Q20" s="231"/>
      <c r="R20" s="231"/>
      <c r="S20" s="231"/>
      <c r="T20" s="231"/>
      <c r="U20" s="231"/>
      <c r="V20" s="231"/>
      <c r="W20" s="231"/>
      <c r="X20" s="231"/>
      <c r="Y20" s="231"/>
      <c r="Z20" s="231"/>
      <c r="AA20" s="231"/>
      <c r="AB20" s="231"/>
      <c r="AC20" s="231"/>
      <c r="AD20" s="232"/>
    </row>
    <row r="21" spans="1:30" ht="15" customHeight="1" x14ac:dyDescent="0.25">
      <c r="A21" s="193" t="s">
        <v>218</v>
      </c>
      <c r="B21" s="181"/>
      <c r="C21" s="181"/>
      <c r="D21" s="181"/>
      <c r="E21" s="181"/>
      <c r="F21" s="182"/>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2"/>
    </row>
    <row r="22" spans="1:30" ht="132" customHeight="1" x14ac:dyDescent="0.25">
      <c r="A22" s="234" t="s">
        <v>198</v>
      </c>
      <c r="B22" s="235"/>
      <c r="C22" s="235"/>
      <c r="D22" s="235"/>
      <c r="E22" s="235"/>
      <c r="F22" s="236"/>
      <c r="G22" s="237" t="s">
        <v>219</v>
      </c>
      <c r="H22" s="238"/>
      <c r="I22" s="238"/>
      <c r="J22" s="238"/>
      <c r="K22" s="238"/>
      <c r="L22" s="238"/>
      <c r="M22" s="238"/>
      <c r="N22" s="238"/>
      <c r="O22" s="238"/>
      <c r="P22" s="238"/>
      <c r="Q22" s="238"/>
      <c r="R22" s="238"/>
      <c r="S22" s="238"/>
      <c r="T22" s="238"/>
      <c r="U22" s="238"/>
      <c r="V22" s="238"/>
      <c r="W22" s="238"/>
      <c r="X22" s="238"/>
      <c r="Y22" s="238"/>
      <c r="Z22" s="238"/>
      <c r="AA22" s="238"/>
      <c r="AB22" s="238"/>
      <c r="AC22" s="238"/>
      <c r="AD22" s="239"/>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225" t="s">
        <v>199</v>
      </c>
      <c r="B24" s="225"/>
      <c r="C24" s="225"/>
      <c r="D24" s="225"/>
      <c r="E24" s="225"/>
      <c r="F24" s="225"/>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225" t="s">
        <v>220</v>
      </c>
      <c r="B26" s="225"/>
      <c r="C26" s="225"/>
      <c r="D26" s="225"/>
      <c r="E26" s="225"/>
      <c r="F26" s="225"/>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3"/>
  <sheetViews>
    <sheetView showGridLines="0" workbookViewId="0">
      <selection sqref="A1:AD1"/>
    </sheetView>
  </sheetViews>
  <sheetFormatPr defaultColWidth="3" defaultRowHeight="15" x14ac:dyDescent="0.25"/>
  <sheetData>
    <row r="1" spans="1:30" ht="30" customHeight="1" x14ac:dyDescent="0.25">
      <c r="A1" s="180" t="str">
        <f xml:space="preserve"> "ACTIVITY " &amp; 'Activity Info'!G4 &amp; " — QUESTION 4"</f>
        <v>ACTIVITY PR-001 — QUESTION 4</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row>
    <row r="2" spans="1:30" ht="15" customHeight="1" x14ac:dyDescent="0.25">
      <c r="A2" s="187"/>
      <c r="B2" s="187"/>
      <c r="C2" s="187"/>
      <c r="D2" s="187"/>
      <c r="E2" s="187"/>
      <c r="F2" s="187"/>
      <c r="G2" s="187"/>
      <c r="H2" s="187"/>
      <c r="I2" s="187"/>
      <c r="J2" s="187"/>
      <c r="K2" s="187"/>
      <c r="L2" s="187"/>
    </row>
    <row r="3" spans="1:30" ht="15" customHeight="1" x14ac:dyDescent="0.25">
      <c r="A3" s="188" t="s">
        <v>161</v>
      </c>
      <c r="B3" s="189"/>
      <c r="C3" s="189"/>
      <c r="D3" s="189"/>
      <c r="E3" s="189"/>
      <c r="F3" s="190"/>
      <c r="G3" s="191"/>
      <c r="H3" s="191"/>
      <c r="I3" s="191"/>
      <c r="J3" s="191"/>
      <c r="K3" s="191"/>
      <c r="L3" s="191"/>
      <c r="M3" s="191"/>
      <c r="N3" s="191"/>
      <c r="O3" s="191"/>
      <c r="P3" s="191"/>
      <c r="Q3" s="191"/>
      <c r="R3" s="191"/>
      <c r="S3" s="191"/>
      <c r="T3" s="191"/>
      <c r="U3" s="191"/>
      <c r="V3" s="191"/>
      <c r="W3" s="191"/>
      <c r="X3" s="191"/>
      <c r="Y3" s="191"/>
      <c r="Z3" s="191"/>
      <c r="AA3" s="191"/>
      <c r="AB3" s="191"/>
      <c r="AC3" s="191"/>
      <c r="AD3" s="192"/>
    </row>
    <row r="4" spans="1:30" ht="52.5" customHeight="1" x14ac:dyDescent="0.25">
      <c r="A4" s="193" t="s">
        <v>194</v>
      </c>
      <c r="B4" s="181"/>
      <c r="C4" s="181"/>
      <c r="D4" s="181"/>
      <c r="E4" s="181"/>
      <c r="F4" s="182"/>
      <c r="G4" s="185"/>
      <c r="H4" s="185"/>
      <c r="I4" s="185"/>
      <c r="J4" s="185"/>
      <c r="K4" s="185"/>
      <c r="L4" s="185"/>
      <c r="M4" s="185"/>
      <c r="N4" s="185"/>
      <c r="O4" s="185"/>
      <c r="P4" s="185"/>
      <c r="Q4" s="185"/>
      <c r="R4" s="185"/>
      <c r="S4" s="185"/>
      <c r="T4" s="185"/>
      <c r="U4" s="185"/>
      <c r="V4" s="185"/>
      <c r="W4" s="185"/>
      <c r="X4" s="185"/>
      <c r="Y4" s="185"/>
      <c r="Z4" s="185"/>
      <c r="AA4" s="185"/>
      <c r="AB4" s="185"/>
      <c r="AC4" s="185"/>
      <c r="AD4" s="186"/>
    </row>
    <row r="5" spans="1:30" ht="15" customHeight="1" x14ac:dyDescent="0.25">
      <c r="A5" s="194" t="s">
        <v>2</v>
      </c>
      <c r="B5" s="195"/>
      <c r="C5" s="195"/>
      <c r="D5" s="195"/>
      <c r="E5" s="195"/>
      <c r="F5" s="196"/>
      <c r="G5" s="68"/>
      <c r="H5" s="68"/>
      <c r="I5" s="68"/>
      <c r="J5" s="68"/>
      <c r="K5" s="68"/>
      <c r="L5" s="68"/>
      <c r="M5" s="68"/>
      <c r="N5" s="68"/>
      <c r="O5" s="68"/>
      <c r="P5" s="68"/>
      <c r="Q5" s="68"/>
      <c r="R5" s="68"/>
      <c r="S5" s="68"/>
      <c r="T5" s="68"/>
      <c r="U5" s="68"/>
      <c r="V5" s="68"/>
      <c r="W5" s="68"/>
      <c r="X5" s="68"/>
      <c r="Y5" s="68"/>
      <c r="Z5" s="68"/>
      <c r="AA5" s="68"/>
      <c r="AB5" s="68"/>
      <c r="AC5" s="68"/>
      <c r="AD5" s="69"/>
    </row>
    <row r="6" spans="1:30" ht="15" customHeight="1" x14ac:dyDescent="0.25">
      <c r="A6" s="194" t="s">
        <v>4</v>
      </c>
      <c r="B6" s="195"/>
      <c r="C6" s="195"/>
      <c r="D6" s="195"/>
      <c r="E6" s="195"/>
      <c r="F6" s="196"/>
      <c r="G6" s="68"/>
      <c r="H6" s="68"/>
      <c r="I6" s="68"/>
      <c r="J6" s="68"/>
      <c r="K6" s="68"/>
      <c r="L6" s="68"/>
      <c r="M6" s="68"/>
      <c r="N6" s="68"/>
      <c r="O6" s="68"/>
      <c r="P6" s="68"/>
      <c r="Q6" s="68"/>
      <c r="R6" s="68"/>
      <c r="S6" s="68"/>
      <c r="T6" s="68"/>
      <c r="U6" s="68"/>
      <c r="V6" s="68"/>
      <c r="W6" s="68"/>
      <c r="X6" s="68"/>
      <c r="Y6" s="68"/>
      <c r="Z6" s="68"/>
      <c r="AA6" s="68"/>
      <c r="AB6" s="68"/>
      <c r="AC6" s="68"/>
      <c r="AD6" s="69"/>
    </row>
    <row r="7" spans="1:30" ht="15" customHeight="1" x14ac:dyDescent="0.25">
      <c r="A7" s="194" t="s">
        <v>6</v>
      </c>
      <c r="B7" s="195"/>
      <c r="C7" s="195"/>
      <c r="D7" s="195"/>
      <c r="E7" s="195"/>
      <c r="F7" s="196"/>
      <c r="G7" s="68"/>
      <c r="H7" s="68"/>
      <c r="I7" s="68"/>
      <c r="J7" s="68"/>
      <c r="K7" s="68"/>
      <c r="L7" s="68"/>
      <c r="M7" s="68"/>
      <c r="N7" s="68"/>
      <c r="O7" s="68"/>
      <c r="P7" s="68"/>
      <c r="Q7" s="68"/>
      <c r="R7" s="68"/>
      <c r="S7" s="68"/>
      <c r="T7" s="68"/>
      <c r="U7" s="68"/>
      <c r="V7" s="68"/>
      <c r="W7" s="68"/>
      <c r="X7" s="68"/>
      <c r="Y7" s="68"/>
      <c r="Z7" s="68"/>
      <c r="AA7" s="68"/>
      <c r="AB7" s="68"/>
      <c r="AC7" s="68"/>
      <c r="AD7" s="69"/>
    </row>
    <row r="8" spans="1:30" ht="15" customHeight="1" x14ac:dyDescent="0.25">
      <c r="A8" s="220" t="s">
        <v>174</v>
      </c>
      <c r="B8" s="221"/>
      <c r="C8" s="221"/>
      <c r="D8" s="221"/>
      <c r="E8" s="221"/>
      <c r="F8" s="222"/>
      <c r="G8" s="61"/>
      <c r="H8" s="61"/>
      <c r="I8" s="61"/>
      <c r="J8" s="61"/>
      <c r="K8" s="61"/>
      <c r="L8" s="61"/>
      <c r="M8" s="61"/>
      <c r="N8" s="61"/>
      <c r="O8" s="61"/>
      <c r="P8" s="61"/>
      <c r="Q8" s="61"/>
      <c r="R8" s="61"/>
      <c r="S8" s="61"/>
      <c r="T8" s="61"/>
      <c r="U8" s="61"/>
      <c r="V8" s="61"/>
      <c r="W8" s="61"/>
      <c r="X8" s="61"/>
      <c r="Y8" s="61"/>
      <c r="Z8" s="61"/>
      <c r="AA8" s="61"/>
      <c r="AB8" s="61"/>
      <c r="AC8" s="61"/>
      <c r="AD8" s="62"/>
    </row>
    <row r="9" spans="1:30" ht="15" customHeight="1" x14ac:dyDescent="0.25">
      <c r="A9" s="223"/>
      <c r="B9" s="223"/>
      <c r="C9" s="223"/>
      <c r="D9" s="223"/>
      <c r="E9" s="223"/>
      <c r="F9" s="223"/>
      <c r="G9" s="224"/>
      <c r="H9" s="224"/>
      <c r="I9" s="224"/>
      <c r="J9" s="224"/>
      <c r="K9" s="224"/>
      <c r="L9" s="224"/>
      <c r="M9" s="224"/>
      <c r="N9" s="224"/>
      <c r="O9" s="224"/>
      <c r="P9" s="224"/>
      <c r="Q9" s="224"/>
      <c r="R9" s="224"/>
      <c r="S9" s="224"/>
      <c r="T9" s="224"/>
      <c r="U9" s="224"/>
      <c r="V9" s="224"/>
      <c r="W9" s="224"/>
      <c r="X9" s="224"/>
      <c r="Y9" s="224"/>
      <c r="Z9" s="224"/>
      <c r="AA9" s="224"/>
      <c r="AB9" s="224"/>
      <c r="AC9" s="224"/>
      <c r="AD9" s="224"/>
    </row>
    <row r="10" spans="1:30" ht="97.5" customHeight="1" x14ac:dyDescent="0.25">
      <c r="A10" s="225" t="s">
        <v>195</v>
      </c>
      <c r="B10" s="225"/>
      <c r="C10" s="225"/>
      <c r="D10" s="225"/>
      <c r="E10" s="225"/>
      <c r="F10" s="225"/>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row>
    <row r="11" spans="1:30" ht="15" customHeight="1" x14ac:dyDescent="0.25">
      <c r="A11" s="10"/>
      <c r="B11" s="10"/>
      <c r="C11" s="10"/>
      <c r="D11" s="10"/>
      <c r="E11" s="10"/>
      <c r="F11" s="10"/>
      <c r="G11" s="10"/>
      <c r="H11" s="10"/>
      <c r="I11" s="10"/>
      <c r="J11" s="10"/>
      <c r="K11" s="10"/>
      <c r="L11" s="10"/>
    </row>
    <row r="12" spans="1:30" ht="15" customHeight="1" x14ac:dyDescent="0.25">
      <c r="A12" s="197" t="s">
        <v>201</v>
      </c>
      <c r="B12" s="198"/>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9"/>
    </row>
    <row r="13" spans="1:30" ht="15" customHeight="1" x14ac:dyDescent="0.25">
      <c r="A13" s="200" t="s">
        <v>197</v>
      </c>
      <c r="B13" s="201"/>
      <c r="C13" s="201"/>
      <c r="D13" s="201"/>
      <c r="E13" s="201"/>
      <c r="F13" s="202"/>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4"/>
    </row>
    <row r="14" spans="1:30" ht="15" customHeight="1" x14ac:dyDescent="0.25">
      <c r="A14" s="205" t="s">
        <v>203</v>
      </c>
      <c r="B14" s="208" t="s">
        <v>207</v>
      </c>
      <c r="C14" s="208"/>
      <c r="D14" s="208"/>
      <c r="E14" s="208"/>
      <c r="F14" s="209"/>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1"/>
    </row>
    <row r="15" spans="1:30" ht="15" customHeight="1" x14ac:dyDescent="0.25">
      <c r="A15" s="206"/>
      <c r="B15" s="212" t="s">
        <v>206</v>
      </c>
      <c r="C15" s="212"/>
      <c r="D15" s="212"/>
      <c r="E15" s="212"/>
      <c r="F15" s="213"/>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5"/>
    </row>
    <row r="16" spans="1:30" ht="30" customHeight="1" x14ac:dyDescent="0.25">
      <c r="A16" s="207"/>
      <c r="B16" s="216" t="s">
        <v>202</v>
      </c>
      <c r="C16" s="216"/>
      <c r="D16" s="216"/>
      <c r="E16" s="216"/>
      <c r="F16" s="217"/>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9"/>
    </row>
    <row r="17" spans="1:30" ht="15" customHeight="1" x14ac:dyDescent="0.25">
      <c r="A17" s="227" t="s">
        <v>217</v>
      </c>
      <c r="B17" s="181" t="s">
        <v>209</v>
      </c>
      <c r="C17" s="181"/>
      <c r="D17" s="181"/>
      <c r="E17" s="181"/>
      <c r="F17" s="182"/>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4"/>
    </row>
    <row r="18" spans="1:30" ht="15" customHeight="1" x14ac:dyDescent="0.25">
      <c r="A18" s="228"/>
      <c r="B18" s="181" t="s">
        <v>210</v>
      </c>
      <c r="C18" s="181"/>
      <c r="D18" s="181"/>
      <c r="E18" s="181"/>
      <c r="F18" s="182"/>
      <c r="G18" s="185"/>
      <c r="H18" s="185"/>
      <c r="I18" s="185"/>
      <c r="J18" s="185"/>
      <c r="K18" s="185"/>
      <c r="L18" s="185"/>
      <c r="M18" s="185"/>
      <c r="N18" s="185"/>
      <c r="O18" s="185"/>
      <c r="P18" s="185"/>
      <c r="Q18" s="185"/>
      <c r="R18" s="185"/>
      <c r="S18" s="185"/>
      <c r="T18" s="185"/>
      <c r="U18" s="185"/>
      <c r="V18" s="185"/>
      <c r="W18" s="185"/>
      <c r="X18" s="185"/>
      <c r="Y18" s="185"/>
      <c r="Z18" s="185"/>
      <c r="AA18" s="185"/>
      <c r="AB18" s="185"/>
      <c r="AC18" s="185"/>
      <c r="AD18" s="186"/>
    </row>
    <row r="19" spans="1:30" ht="15" customHeight="1" x14ac:dyDescent="0.25">
      <c r="A19" s="228"/>
      <c r="B19" s="181" t="s">
        <v>215</v>
      </c>
      <c r="C19" s="181"/>
      <c r="D19" s="181"/>
      <c r="E19" s="181"/>
      <c r="F19" s="182"/>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6"/>
    </row>
    <row r="20" spans="1:30" ht="30" customHeight="1" x14ac:dyDescent="0.25">
      <c r="A20" s="229"/>
      <c r="B20" s="181" t="s">
        <v>211</v>
      </c>
      <c r="C20" s="181"/>
      <c r="D20" s="181"/>
      <c r="E20" s="181"/>
      <c r="F20" s="182"/>
      <c r="G20" s="230"/>
      <c r="H20" s="231"/>
      <c r="I20" s="231"/>
      <c r="J20" s="231"/>
      <c r="K20" s="231"/>
      <c r="L20" s="231"/>
      <c r="M20" s="231"/>
      <c r="N20" s="231"/>
      <c r="O20" s="231"/>
      <c r="P20" s="231"/>
      <c r="Q20" s="231"/>
      <c r="R20" s="231"/>
      <c r="S20" s="231"/>
      <c r="T20" s="231"/>
      <c r="U20" s="231"/>
      <c r="V20" s="231"/>
      <c r="W20" s="231"/>
      <c r="X20" s="231"/>
      <c r="Y20" s="231"/>
      <c r="Z20" s="231"/>
      <c r="AA20" s="231"/>
      <c r="AB20" s="231"/>
      <c r="AC20" s="231"/>
      <c r="AD20" s="232"/>
    </row>
    <row r="21" spans="1:30" ht="15" customHeight="1" x14ac:dyDescent="0.25">
      <c r="A21" s="193" t="s">
        <v>218</v>
      </c>
      <c r="B21" s="181"/>
      <c r="C21" s="181"/>
      <c r="D21" s="181"/>
      <c r="E21" s="181"/>
      <c r="F21" s="182"/>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2"/>
    </row>
    <row r="22" spans="1:30" ht="132" customHeight="1" x14ac:dyDescent="0.25">
      <c r="A22" s="234" t="s">
        <v>198</v>
      </c>
      <c r="B22" s="235"/>
      <c r="C22" s="235"/>
      <c r="D22" s="235"/>
      <c r="E22" s="235"/>
      <c r="F22" s="236"/>
      <c r="G22" s="237" t="s">
        <v>219</v>
      </c>
      <c r="H22" s="238"/>
      <c r="I22" s="238"/>
      <c r="J22" s="238"/>
      <c r="K22" s="238"/>
      <c r="L22" s="238"/>
      <c r="M22" s="238"/>
      <c r="N22" s="238"/>
      <c r="O22" s="238"/>
      <c r="P22" s="238"/>
      <c r="Q22" s="238"/>
      <c r="R22" s="238"/>
      <c r="S22" s="238"/>
      <c r="T22" s="238"/>
      <c r="U22" s="238"/>
      <c r="V22" s="238"/>
      <c r="W22" s="238"/>
      <c r="X22" s="238"/>
      <c r="Y22" s="238"/>
      <c r="Z22" s="238"/>
      <c r="AA22" s="238"/>
      <c r="AB22" s="238"/>
      <c r="AC22" s="238"/>
      <c r="AD22" s="239"/>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225" t="s">
        <v>199</v>
      </c>
      <c r="B24" s="225"/>
      <c r="C24" s="225"/>
      <c r="D24" s="225"/>
      <c r="E24" s="225"/>
      <c r="F24" s="225"/>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225" t="s">
        <v>220</v>
      </c>
      <c r="B26" s="225"/>
      <c r="C26" s="225"/>
      <c r="D26" s="225"/>
      <c r="E26" s="225"/>
      <c r="F26" s="225"/>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53"/>
  <sheetViews>
    <sheetView showGridLines="0" workbookViewId="0">
      <selection sqref="A1:AD1"/>
    </sheetView>
  </sheetViews>
  <sheetFormatPr defaultColWidth="3" defaultRowHeight="15" x14ac:dyDescent="0.25"/>
  <sheetData>
    <row r="1" spans="1:30" ht="30" customHeight="1" x14ac:dyDescent="0.25">
      <c r="A1" s="180" t="str">
        <f xml:space="preserve"> "ACTIVITY " &amp; 'Activity Info'!G4 &amp; " — QUESTION 5"</f>
        <v>ACTIVITY PR-001 — QUESTION 5</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row>
    <row r="2" spans="1:30" ht="15" customHeight="1" x14ac:dyDescent="0.25">
      <c r="A2" s="187"/>
      <c r="B2" s="187"/>
      <c r="C2" s="187"/>
      <c r="D2" s="187"/>
      <c r="E2" s="187"/>
      <c r="F2" s="187"/>
      <c r="G2" s="187"/>
      <c r="H2" s="187"/>
      <c r="I2" s="187"/>
      <c r="J2" s="187"/>
      <c r="K2" s="187"/>
      <c r="L2" s="187"/>
    </row>
    <row r="3" spans="1:30" ht="15" customHeight="1" x14ac:dyDescent="0.25">
      <c r="A3" s="188" t="s">
        <v>161</v>
      </c>
      <c r="B3" s="189"/>
      <c r="C3" s="189"/>
      <c r="D3" s="189"/>
      <c r="E3" s="189"/>
      <c r="F3" s="190"/>
      <c r="G3" s="191"/>
      <c r="H3" s="191"/>
      <c r="I3" s="191"/>
      <c r="J3" s="191"/>
      <c r="K3" s="191"/>
      <c r="L3" s="191"/>
      <c r="M3" s="191"/>
      <c r="N3" s="191"/>
      <c r="O3" s="191"/>
      <c r="P3" s="191"/>
      <c r="Q3" s="191"/>
      <c r="R3" s="191"/>
      <c r="S3" s="191"/>
      <c r="T3" s="191"/>
      <c r="U3" s="191"/>
      <c r="V3" s="191"/>
      <c r="W3" s="191"/>
      <c r="X3" s="191"/>
      <c r="Y3" s="191"/>
      <c r="Z3" s="191"/>
      <c r="AA3" s="191"/>
      <c r="AB3" s="191"/>
      <c r="AC3" s="191"/>
      <c r="AD3" s="192"/>
    </row>
    <row r="4" spans="1:30" ht="52.5" customHeight="1" x14ac:dyDescent="0.25">
      <c r="A4" s="193" t="s">
        <v>194</v>
      </c>
      <c r="B4" s="181"/>
      <c r="C4" s="181"/>
      <c r="D4" s="181"/>
      <c r="E4" s="181"/>
      <c r="F4" s="182"/>
      <c r="G4" s="185"/>
      <c r="H4" s="185"/>
      <c r="I4" s="185"/>
      <c r="J4" s="185"/>
      <c r="K4" s="185"/>
      <c r="L4" s="185"/>
      <c r="M4" s="185"/>
      <c r="N4" s="185"/>
      <c r="O4" s="185"/>
      <c r="P4" s="185"/>
      <c r="Q4" s="185"/>
      <c r="R4" s="185"/>
      <c r="S4" s="185"/>
      <c r="T4" s="185"/>
      <c r="U4" s="185"/>
      <c r="V4" s="185"/>
      <c r="W4" s="185"/>
      <c r="X4" s="185"/>
      <c r="Y4" s="185"/>
      <c r="Z4" s="185"/>
      <c r="AA4" s="185"/>
      <c r="AB4" s="185"/>
      <c r="AC4" s="185"/>
      <c r="AD4" s="186"/>
    </row>
    <row r="5" spans="1:30" ht="15" customHeight="1" x14ac:dyDescent="0.25">
      <c r="A5" s="194" t="s">
        <v>2</v>
      </c>
      <c r="B5" s="195"/>
      <c r="C5" s="195"/>
      <c r="D5" s="195"/>
      <c r="E5" s="195"/>
      <c r="F5" s="196"/>
      <c r="G5" s="68"/>
      <c r="H5" s="68"/>
      <c r="I5" s="68"/>
      <c r="J5" s="68"/>
      <c r="K5" s="68"/>
      <c r="L5" s="68"/>
      <c r="M5" s="68"/>
      <c r="N5" s="68"/>
      <c r="O5" s="68"/>
      <c r="P5" s="68"/>
      <c r="Q5" s="68"/>
      <c r="R5" s="68"/>
      <c r="S5" s="68"/>
      <c r="T5" s="68"/>
      <c r="U5" s="68"/>
      <c r="V5" s="68"/>
      <c r="W5" s="68"/>
      <c r="X5" s="68"/>
      <c r="Y5" s="68"/>
      <c r="Z5" s="68"/>
      <c r="AA5" s="68"/>
      <c r="AB5" s="68"/>
      <c r="AC5" s="68"/>
      <c r="AD5" s="69"/>
    </row>
    <row r="6" spans="1:30" ht="15" customHeight="1" x14ac:dyDescent="0.25">
      <c r="A6" s="194" t="s">
        <v>4</v>
      </c>
      <c r="B6" s="195"/>
      <c r="C6" s="195"/>
      <c r="D6" s="195"/>
      <c r="E6" s="195"/>
      <c r="F6" s="196"/>
      <c r="G6" s="68"/>
      <c r="H6" s="68"/>
      <c r="I6" s="68"/>
      <c r="J6" s="68"/>
      <c r="K6" s="68"/>
      <c r="L6" s="68"/>
      <c r="M6" s="68"/>
      <c r="N6" s="68"/>
      <c r="O6" s="68"/>
      <c r="P6" s="68"/>
      <c r="Q6" s="68"/>
      <c r="R6" s="68"/>
      <c r="S6" s="68"/>
      <c r="T6" s="68"/>
      <c r="U6" s="68"/>
      <c r="V6" s="68"/>
      <c r="W6" s="68"/>
      <c r="X6" s="68"/>
      <c r="Y6" s="68"/>
      <c r="Z6" s="68"/>
      <c r="AA6" s="68"/>
      <c r="AB6" s="68"/>
      <c r="AC6" s="68"/>
      <c r="AD6" s="69"/>
    </row>
    <row r="7" spans="1:30" ht="15" customHeight="1" x14ac:dyDescent="0.25">
      <c r="A7" s="194" t="s">
        <v>6</v>
      </c>
      <c r="B7" s="195"/>
      <c r="C7" s="195"/>
      <c r="D7" s="195"/>
      <c r="E7" s="195"/>
      <c r="F7" s="196"/>
      <c r="G7" s="68"/>
      <c r="H7" s="68"/>
      <c r="I7" s="68"/>
      <c r="J7" s="68"/>
      <c r="K7" s="68"/>
      <c r="L7" s="68"/>
      <c r="M7" s="68"/>
      <c r="N7" s="68"/>
      <c r="O7" s="68"/>
      <c r="P7" s="68"/>
      <c r="Q7" s="68"/>
      <c r="R7" s="68"/>
      <c r="S7" s="68"/>
      <c r="T7" s="68"/>
      <c r="U7" s="68"/>
      <c r="V7" s="68"/>
      <c r="W7" s="68"/>
      <c r="X7" s="68"/>
      <c r="Y7" s="68"/>
      <c r="Z7" s="68"/>
      <c r="AA7" s="68"/>
      <c r="AB7" s="68"/>
      <c r="AC7" s="68"/>
      <c r="AD7" s="69"/>
    </row>
    <row r="8" spans="1:30" ht="15" customHeight="1" x14ac:dyDescent="0.25">
      <c r="A8" s="220" t="s">
        <v>174</v>
      </c>
      <c r="B8" s="221"/>
      <c r="C8" s="221"/>
      <c r="D8" s="221"/>
      <c r="E8" s="221"/>
      <c r="F8" s="222"/>
      <c r="G8" s="61"/>
      <c r="H8" s="61"/>
      <c r="I8" s="61"/>
      <c r="J8" s="61"/>
      <c r="K8" s="61"/>
      <c r="L8" s="61"/>
      <c r="M8" s="61"/>
      <c r="N8" s="61"/>
      <c r="O8" s="61"/>
      <c r="P8" s="61"/>
      <c r="Q8" s="61"/>
      <c r="R8" s="61"/>
      <c r="S8" s="61"/>
      <c r="T8" s="61"/>
      <c r="U8" s="61"/>
      <c r="V8" s="61"/>
      <c r="W8" s="61"/>
      <c r="X8" s="61"/>
      <c r="Y8" s="61"/>
      <c r="Z8" s="61"/>
      <c r="AA8" s="61"/>
      <c r="AB8" s="61"/>
      <c r="AC8" s="61"/>
      <c r="AD8" s="62"/>
    </row>
    <row r="9" spans="1:30" ht="15" customHeight="1" x14ac:dyDescent="0.25">
      <c r="A9" s="223"/>
      <c r="B9" s="223"/>
      <c r="C9" s="223"/>
      <c r="D9" s="223"/>
      <c r="E9" s="223"/>
      <c r="F9" s="223"/>
      <c r="G9" s="224"/>
      <c r="H9" s="224"/>
      <c r="I9" s="224"/>
      <c r="J9" s="224"/>
      <c r="K9" s="224"/>
      <c r="L9" s="224"/>
      <c r="M9" s="224"/>
      <c r="N9" s="224"/>
      <c r="O9" s="224"/>
      <c r="P9" s="224"/>
      <c r="Q9" s="224"/>
      <c r="R9" s="224"/>
      <c r="S9" s="224"/>
      <c r="T9" s="224"/>
      <c r="U9" s="224"/>
      <c r="V9" s="224"/>
      <c r="W9" s="224"/>
      <c r="X9" s="224"/>
      <c r="Y9" s="224"/>
      <c r="Z9" s="224"/>
      <c r="AA9" s="224"/>
      <c r="AB9" s="224"/>
      <c r="AC9" s="224"/>
      <c r="AD9" s="224"/>
    </row>
    <row r="10" spans="1:30" ht="97.5" customHeight="1" x14ac:dyDescent="0.25">
      <c r="A10" s="225" t="s">
        <v>195</v>
      </c>
      <c r="B10" s="225"/>
      <c r="C10" s="225"/>
      <c r="D10" s="225"/>
      <c r="E10" s="225"/>
      <c r="F10" s="225"/>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row>
    <row r="11" spans="1:30" ht="15" customHeight="1" x14ac:dyDescent="0.25">
      <c r="A11" s="10"/>
      <c r="B11" s="10"/>
      <c r="C11" s="10"/>
      <c r="D11" s="10"/>
      <c r="E11" s="10"/>
      <c r="F11" s="10"/>
      <c r="G11" s="10"/>
      <c r="H11" s="10"/>
      <c r="I11" s="10"/>
      <c r="J11" s="10"/>
      <c r="K11" s="10"/>
      <c r="L11" s="10"/>
    </row>
    <row r="12" spans="1:30" ht="15" customHeight="1" x14ac:dyDescent="0.25">
      <c r="A12" s="197" t="s">
        <v>201</v>
      </c>
      <c r="B12" s="198"/>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9"/>
    </row>
    <row r="13" spans="1:30" ht="15" customHeight="1" x14ac:dyDescent="0.25">
      <c r="A13" s="200" t="s">
        <v>197</v>
      </c>
      <c r="B13" s="201"/>
      <c r="C13" s="201"/>
      <c r="D13" s="201"/>
      <c r="E13" s="201"/>
      <c r="F13" s="202"/>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4"/>
    </row>
    <row r="14" spans="1:30" ht="15" customHeight="1" x14ac:dyDescent="0.25">
      <c r="A14" s="205" t="s">
        <v>203</v>
      </c>
      <c r="B14" s="208" t="s">
        <v>207</v>
      </c>
      <c r="C14" s="208"/>
      <c r="D14" s="208"/>
      <c r="E14" s="208"/>
      <c r="F14" s="209"/>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1"/>
    </row>
    <row r="15" spans="1:30" ht="15" customHeight="1" x14ac:dyDescent="0.25">
      <c r="A15" s="206"/>
      <c r="B15" s="212" t="s">
        <v>206</v>
      </c>
      <c r="C15" s="212"/>
      <c r="D15" s="212"/>
      <c r="E15" s="212"/>
      <c r="F15" s="213"/>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5"/>
    </row>
    <row r="16" spans="1:30" ht="30" customHeight="1" x14ac:dyDescent="0.25">
      <c r="A16" s="207"/>
      <c r="B16" s="216" t="s">
        <v>202</v>
      </c>
      <c r="C16" s="216"/>
      <c r="D16" s="216"/>
      <c r="E16" s="216"/>
      <c r="F16" s="217"/>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9"/>
    </row>
    <row r="17" spans="1:30" ht="15" customHeight="1" x14ac:dyDescent="0.25">
      <c r="A17" s="227" t="s">
        <v>217</v>
      </c>
      <c r="B17" s="181" t="s">
        <v>209</v>
      </c>
      <c r="C17" s="181"/>
      <c r="D17" s="181"/>
      <c r="E17" s="181"/>
      <c r="F17" s="182"/>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4"/>
    </row>
    <row r="18" spans="1:30" ht="15" customHeight="1" x14ac:dyDescent="0.25">
      <c r="A18" s="228"/>
      <c r="B18" s="181" t="s">
        <v>210</v>
      </c>
      <c r="C18" s="181"/>
      <c r="D18" s="181"/>
      <c r="E18" s="181"/>
      <c r="F18" s="182"/>
      <c r="G18" s="185"/>
      <c r="H18" s="185"/>
      <c r="I18" s="185"/>
      <c r="J18" s="185"/>
      <c r="K18" s="185"/>
      <c r="L18" s="185"/>
      <c r="M18" s="185"/>
      <c r="N18" s="185"/>
      <c r="O18" s="185"/>
      <c r="P18" s="185"/>
      <c r="Q18" s="185"/>
      <c r="R18" s="185"/>
      <c r="S18" s="185"/>
      <c r="T18" s="185"/>
      <c r="U18" s="185"/>
      <c r="V18" s="185"/>
      <c r="W18" s="185"/>
      <c r="X18" s="185"/>
      <c r="Y18" s="185"/>
      <c r="Z18" s="185"/>
      <c r="AA18" s="185"/>
      <c r="AB18" s="185"/>
      <c r="AC18" s="185"/>
      <c r="AD18" s="186"/>
    </row>
    <row r="19" spans="1:30" ht="15" customHeight="1" x14ac:dyDescent="0.25">
      <c r="A19" s="228"/>
      <c r="B19" s="181" t="s">
        <v>215</v>
      </c>
      <c r="C19" s="181"/>
      <c r="D19" s="181"/>
      <c r="E19" s="181"/>
      <c r="F19" s="182"/>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6"/>
    </row>
    <row r="20" spans="1:30" ht="30" customHeight="1" x14ac:dyDescent="0.25">
      <c r="A20" s="229"/>
      <c r="B20" s="181" t="s">
        <v>211</v>
      </c>
      <c r="C20" s="181"/>
      <c r="D20" s="181"/>
      <c r="E20" s="181"/>
      <c r="F20" s="182"/>
      <c r="G20" s="230"/>
      <c r="H20" s="231"/>
      <c r="I20" s="231"/>
      <c r="J20" s="231"/>
      <c r="K20" s="231"/>
      <c r="L20" s="231"/>
      <c r="M20" s="231"/>
      <c r="N20" s="231"/>
      <c r="O20" s="231"/>
      <c r="P20" s="231"/>
      <c r="Q20" s="231"/>
      <c r="R20" s="231"/>
      <c r="S20" s="231"/>
      <c r="T20" s="231"/>
      <c r="U20" s="231"/>
      <c r="V20" s="231"/>
      <c r="W20" s="231"/>
      <c r="X20" s="231"/>
      <c r="Y20" s="231"/>
      <c r="Z20" s="231"/>
      <c r="AA20" s="231"/>
      <c r="AB20" s="231"/>
      <c r="AC20" s="231"/>
      <c r="AD20" s="232"/>
    </row>
    <row r="21" spans="1:30" ht="15" customHeight="1" x14ac:dyDescent="0.25">
      <c r="A21" s="240" t="s">
        <v>218</v>
      </c>
      <c r="B21" s="181"/>
      <c r="C21" s="181"/>
      <c r="D21" s="181"/>
      <c r="E21" s="181"/>
      <c r="F21" s="182"/>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2"/>
    </row>
    <row r="22" spans="1:30" ht="132" customHeight="1" x14ac:dyDescent="0.25">
      <c r="A22" s="234" t="s">
        <v>198</v>
      </c>
      <c r="B22" s="235"/>
      <c r="C22" s="235"/>
      <c r="D22" s="235"/>
      <c r="E22" s="235"/>
      <c r="F22" s="236"/>
      <c r="G22" s="237" t="s">
        <v>219</v>
      </c>
      <c r="H22" s="238"/>
      <c r="I22" s="238"/>
      <c r="J22" s="238"/>
      <c r="K22" s="238"/>
      <c r="L22" s="238"/>
      <c r="M22" s="238"/>
      <c r="N22" s="238"/>
      <c r="O22" s="238"/>
      <c r="P22" s="238"/>
      <c r="Q22" s="238"/>
      <c r="R22" s="238"/>
      <c r="S22" s="238"/>
      <c r="T22" s="238"/>
      <c r="U22" s="238"/>
      <c r="V22" s="238"/>
      <c r="W22" s="238"/>
      <c r="X22" s="238"/>
      <c r="Y22" s="238"/>
      <c r="Z22" s="238"/>
      <c r="AA22" s="238"/>
      <c r="AB22" s="238"/>
      <c r="AC22" s="238"/>
      <c r="AD22" s="239"/>
    </row>
    <row r="23" spans="1:30" ht="15" customHeight="1"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row>
    <row r="24" spans="1:30" ht="188.25" customHeight="1" x14ac:dyDescent="0.25">
      <c r="A24" s="225" t="s">
        <v>199</v>
      </c>
      <c r="B24" s="225"/>
      <c r="C24" s="225"/>
      <c r="D24" s="225"/>
      <c r="E24" s="225"/>
      <c r="F24" s="225"/>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row>
    <row r="25" spans="1:30" ht="15" customHeight="1" x14ac:dyDescent="0.25">
      <c r="A25" s="12"/>
      <c r="B25" s="12"/>
      <c r="C25" s="12"/>
      <c r="D25" s="12"/>
      <c r="E25" s="12"/>
      <c r="F25" s="12"/>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31.25" customHeight="1" x14ac:dyDescent="0.25">
      <c r="A26" s="225" t="s">
        <v>220</v>
      </c>
      <c r="B26" s="225"/>
      <c r="C26" s="225"/>
      <c r="D26" s="225"/>
      <c r="E26" s="225"/>
      <c r="F26" s="225"/>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row>
    <row r="27" spans="1:30" ht="15" customHeight="1" x14ac:dyDescent="0.25"/>
    <row r="28" spans="1:30" ht="15" customHeight="1" x14ac:dyDescent="0.25"/>
    <row r="29" spans="1:30" ht="15" customHeight="1" x14ac:dyDescent="0.25"/>
    <row r="30" spans="1:30" ht="15" customHeight="1" x14ac:dyDescent="0.25"/>
    <row r="31" spans="1:30" ht="15" customHeight="1" x14ac:dyDescent="0.25"/>
    <row r="32" spans="1:30"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45">
    <mergeCell ref="A26:F26"/>
    <mergeCell ref="G26:AD26"/>
    <mergeCell ref="A21:F21"/>
    <mergeCell ref="G21:AD21"/>
    <mergeCell ref="A22:F22"/>
    <mergeCell ref="G22:AD22"/>
    <mergeCell ref="A24:F24"/>
    <mergeCell ref="G24:AD24"/>
    <mergeCell ref="A17:A20"/>
    <mergeCell ref="B20:F20"/>
    <mergeCell ref="G20:AD20"/>
    <mergeCell ref="B19:F19"/>
    <mergeCell ref="G19:AD19"/>
    <mergeCell ref="A8:F8"/>
    <mergeCell ref="G8:AD8"/>
    <mergeCell ref="A9:F9"/>
    <mergeCell ref="G9:AD9"/>
    <mergeCell ref="A10:F10"/>
    <mergeCell ref="G10:AD10"/>
    <mergeCell ref="A12:AD12"/>
    <mergeCell ref="A13:F13"/>
    <mergeCell ref="G13:AD13"/>
    <mergeCell ref="A14:A16"/>
    <mergeCell ref="B14:F14"/>
    <mergeCell ref="G14:AD14"/>
    <mergeCell ref="B15:F15"/>
    <mergeCell ref="G15:AD15"/>
    <mergeCell ref="B16:F16"/>
    <mergeCell ref="G16:AD16"/>
    <mergeCell ref="A1:AD1"/>
    <mergeCell ref="B17:F17"/>
    <mergeCell ref="G17:AD17"/>
    <mergeCell ref="B18:F18"/>
    <mergeCell ref="G18:AD18"/>
    <mergeCell ref="A2:L2"/>
    <mergeCell ref="A3:F3"/>
    <mergeCell ref="G3:AD3"/>
    <mergeCell ref="A4:F4"/>
    <mergeCell ref="G4:AD4"/>
    <mergeCell ref="A5:F5"/>
    <mergeCell ref="G5:AD5"/>
    <mergeCell ref="A6:F6"/>
    <mergeCell ref="G6:AD6"/>
    <mergeCell ref="A7:F7"/>
    <mergeCell ref="G7:AD7"/>
  </mergeCells>
  <pageMargins left="0.51181102362204722" right="0.51181102362204722" top="0.74803149606299213"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Lists</vt:lpstr>
      <vt:lpstr>Activity Info</vt: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Selami DEMİR</cp:lastModifiedBy>
  <cp:lastPrinted>2026-08-26T13:14:06Z</cp:lastPrinted>
  <dcterms:modified xsi:type="dcterms:W3CDTF">2026-08-31T06:33:16Z</dcterms:modified>
</cp:coreProperties>
</file>