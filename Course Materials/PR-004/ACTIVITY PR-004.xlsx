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dyildizedu-my.sharepoint.com/personal/seldemir_yildiz_edu_tr/Documents/YAZILIM PROJELERİM/PROCERA/MAKALE ADAYI 2/ACTIVITIES/PR-004. WHERE DID THE PUPPIES GO, MAN/"/>
    </mc:Choice>
  </mc:AlternateContent>
  <xr:revisionPtr revIDLastSave="805" documentId="11_66174F24F608B6D7431E05A6C92D535463DFB474" xr6:coauthVersionLast="47" xr6:coauthVersionMax="47" xr10:uidLastSave="{C79730D7-0E53-4012-AC67-82CCDC05AE77}"/>
  <bookViews>
    <workbookView xWindow="2730" yWindow="2730" windowWidth="14205" windowHeight="12240" firstSheet="1" activeTab="1" xr2:uid="{00000000-000D-0000-FFFF-FFFF00000000}"/>
  </bookViews>
  <sheets>
    <sheet name="Lists" sheetId="3" state="hidden" r:id="rId1"/>
    <sheet name="Activity Info" sheetId="1" r:id="rId2"/>
    <sheet name="Q1" sheetId="4" r:id="rId3"/>
    <sheet name="Q2" sheetId="5"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<sst xmlns="http://schemas.openxmlformats.org/spreadsheetml/2006/main" count="389" uniqueCount="244">
  <si>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</si>
  <si>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</si>
  <si>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</si>
  <si>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</si>
  <si>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</si>
  <si>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</si>
  <si>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</si>
  <si>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</si>
  <si>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</si>
  <si>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</si>
  <si>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</si>
  <si>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</si>
  <si>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</si>
  <si>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</si>
  <si>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</si>
  <si>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</si>
  <si>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</si>
  <si>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</si>
  <si>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</si>
  <si>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</si>
  <si>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</si>
  <si>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</si>
  <si>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</si>
  <si>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</si>
  <si>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</si>
  <si>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</si>
  <si>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</si>
  <si>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</si>
  <si>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</si>
  <si>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</si>
  <si>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</si>
  <si>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</si>
  <si>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</si>
  <si>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</si>
  <si>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</si>
  <si>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</si>
  <si>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</si>
  <si>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</si>
  <si>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</si>
  <si>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</si>
  <si>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</si>
  <si>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</si>
  <si>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</si>
  <si>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</si>
  <si>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</si>
  <si>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</si>
  <si>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</si>
  <si>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</si>
  <si>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</si>
  <si>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</si>
  <si>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</si>
  <si>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</si>
  <si>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</si>
  <si>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</si>
  <si>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</si>
  <si>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</si>
  <si>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</si>
  <si>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</si>
  <si>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</si>
  <si>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</si>
  <si>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</si>
  <si>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</si>
  <si>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</si>
  <si>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</si>
  <si>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</si>
  <si>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</si>
  <si>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</si>
  <si>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</si>
  <si>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</si>
  <si>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</si>
  <si>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</si>
  <si>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</si>
  <si>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</si>
  <si>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</si>
  <si>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</si>
  <si>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</si>
  <si>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</si>
  <si>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</si>
  <si>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</si>
  <si>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</si>
  <si>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</si>
  <si>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</si>
  <si>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</si>
  <si>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</si>
  <si>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</si>
  <si>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</si>
  <si>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</si>
  <si>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</si>
  <si>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</si>
  <si>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</si>
  <si>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</si>
  <si>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</si>
  <si>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</si>
  <si>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</si>
  <si>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</si>
  <si>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</si>
  <si>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</si>
  <si>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</si>
  <si>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</si>
  <si>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</si>
  <si>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</si>
  <si>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</si>
  <si>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</si>
  <si>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</si>
  <si>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</si>
  <si>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</si>
  <si>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</si>
  <si>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</si>
  <si>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</si>
  <si>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</si>
  <si>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</si>
  <si>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</si>
  <si>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</si>
  <si>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</si>
  <si>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</si>
  <si>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</si>
  <si>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</si>
  <si>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</si>
  <si>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</si>
  <si>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</si>
  <si>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</si>
  <si>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</si>
  <si>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</si>
  <si>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</si>
  <si>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</si>
  <si>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</si>
  <si>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</si>
  <si>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</si>
  <si>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Activity topic</t>
  </si>
  <si>
    <t>Activity ID</t>
  </si>
  <si>
    <t>Activity version</t>
  </si>
  <si>
    <t>1.0</t>
  </si>
  <si>
    <t>Publication date</t>
  </si>
  <si>
    <t>Procera version</t>
  </si>
  <si>
    <t>at least 1.0.0</t>
  </si>
  <si>
    <t>Reference activity</t>
  </si>
  <si>
    <t>Reference video</t>
  </si>
  <si>
    <t>Contributor</t>
  </si>
  <si>
    <t>name</t>
  </si>
  <si>
    <t>email</t>
  </si>
  <si>
    <t>institution</t>
  </si>
  <si>
    <t>Yıldız Technical University</t>
  </si>
  <si>
    <t>department</t>
  </si>
  <si>
    <t>Department of Environmental Engineering</t>
  </si>
  <si>
    <t>Purpose and Scope</t>
  </si>
  <si>
    <t>Target students</t>
  </si>
  <si>
    <t>Timing</t>
  </si>
  <si>
    <t>Mode of use</t>
  </si>
  <si>
    <t>In-class activity or homework</t>
  </si>
  <si>
    <t>Guidance level</t>
  </si>
  <si>
    <t>Guided</t>
  </si>
  <si>
    <t>ETC</t>
  </si>
  <si>
    <t>Highest Bloom</t>
  </si>
  <si>
    <t>Level</t>
  </si>
  <si>
    <t>Justification</t>
  </si>
  <si>
    <t>Prerequisites</t>
  </si>
  <si>
    <t>Activity Learning Outcomes (ALOs)</t>
  </si>
  <si>
    <t>Program Outcomes (POs) and Bloom Mapping</t>
  </si>
  <si>
    <t>Question ID</t>
  </si>
  <si>
    <t>ALOs</t>
  </si>
  <si>
    <t>ABET POs</t>
  </si>
  <si>
    <t>EUR-ACE POs</t>
  </si>
  <si>
    <t>MÜDEK POs</t>
  </si>
  <si>
    <t>Bloom level</t>
  </si>
  <si>
    <t>Recommended Implementation (In-Class)</t>
  </si>
  <si>
    <t>Preparation</t>
  </si>
  <si>
    <t>Opening</t>
  </si>
  <si>
    <t>Guidance</t>
  </si>
  <si>
    <t>Discussion</t>
  </si>
  <si>
    <t>Recommended Implementation (Homework)</t>
  </si>
  <si>
    <t>Assignment Release</t>
  </si>
  <si>
    <t>Support and Resources</t>
  </si>
  <si>
    <t>Submission</t>
  </si>
  <si>
    <t>Evaluation &amp; Feedback</t>
  </si>
  <si>
    <t>ALO</t>
  </si>
  <si>
    <t>Question</t>
  </si>
  <si>
    <t>Model template</t>
  </si>
  <si>
    <t>Topology figure</t>
  </si>
  <si>
    <t>Instructions</t>
  </si>
  <si>
    <t>Topology and Procera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</si>
  <si>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</si>
  <si>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</si>
  <si>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</si>
  <si>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</si>
  <si>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</si>
  <si>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</si>
  <si>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</si>
  <si>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</si>
  <si>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</si>
  <si>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</si>
  <si>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t>5 m</t>
  </si>
  <si>
    <t>Aeration</t>
  </si>
  <si>
    <t>Constant DO @ 2 mg/L</t>
  </si>
  <si>
    <t>Reactor</t>
  </si>
  <si>
    <t>Simulat'n settings</t>
  </si>
  <si>
    <t>Insert Procera topology screenshot here</t>
  </si>
  <si>
    <t>Requir'd submiss'n</t>
  </si>
  <si>
    <t>Introductory S-X Model.pct</t>
  </si>
  <si>
    <t>Inlet layer</t>
  </si>
  <si>
    <t>Clarifier</t>
  </si>
  <si>
    <t>RAS flow</t>
  </si>
  <si>
    <t>WAS flow</t>
  </si>
  <si>
    <r>
      <t>200 m</t>
    </r>
    <r>
      <rPr>
        <vertAlign val="superscript"/>
        <sz val="11"/>
        <color theme="1"/>
        <rFont val="Aptos Narrow"/>
        <family val="2"/>
      </rPr>
      <t>2</t>
    </r>
  </si>
  <si>
    <t>3 m</t>
  </si>
  <si>
    <t>Steady-state simulation</t>
  </si>
  <si>
    <r>
      <t>120 m</t>
    </r>
    <r>
      <rPr>
        <vertAlign val="superscript"/>
        <sz val="11"/>
        <color theme="1"/>
        <rFont val="Aptos Narrow"/>
        <family val="2"/>
      </rPr>
      <t>2</t>
    </r>
  </si>
  <si>
    <t>Neslihan Manav Demir</t>
  </si>
  <si>
    <t>nmanav@yildiz.edu.tr</t>
  </si>
  <si>
    <t>PR-004</t>
  </si>
  <si>
    <t>None</t>
  </si>
  <si>
    <t>Undergraduate, beginner-to-intermediate level</t>
  </si>
  <si>
    <t>Provide the workbook and required assets. State the deadline, allowed collaboration, required graphs, and Procera project-file naming convention. Students should change only the parameter identified in each question.</t>
  </si>
  <si>
    <t>Provide the reference video, relevant Procera manual sections, or instructor support identified for the activity. Clarify software-operation questions without supplying the interpretation requested in each question.</t>
  </si>
  <si>
    <t>Students submit their completed written answers, result tables, graphs, and the Procera PCM files requested on the question sheets.</t>
  </si>
  <si>
    <r>
      <t>1.5 m</t>
    </r>
    <r>
      <rPr>
        <vertAlign val="superscript"/>
        <sz val="11"/>
        <color theme="1"/>
        <rFont val="Aptos Narrow"/>
        <family val="2"/>
      </rPr>
      <t>3</t>
    </r>
    <r>
      <rPr>
        <sz val="11"/>
        <color theme="1"/>
        <rFont val="Aptos Narrow"/>
        <family val="2"/>
      </rPr>
      <t>/h</t>
    </r>
  </si>
  <si>
    <t>Parameter values</t>
  </si>
  <si>
    <t>WHERE DID THE PUPPIES GO, MAN?</t>
  </si>
  <si>
    <t>2 September 2026</t>
  </si>
  <si>
    <t>After the basic concepts of biomass growth, yield, decay, HRT, and SRT have been introduced.</t>
  </si>
  <si>
    <t>Basic concepts: activated sludge treatment, substrate removal, biomass growth, yield coefficient, endogenous decay, and steady-state mass balance.
Basic Procera skills: creating a project from a template, constructing a prescribed process topology, entering operating conditions, editing model parameters, running Project Check, performing steady-state simulations, and reading reactor, effluent, and Sludge Unit results.</t>
  </si>
  <si>
    <t>Review the definitions of yield coefficient and biomass decay. Students should know the basic idea of a steady-state mass balance, but observed yield does not need to be introduced before the activity.</t>
  </si>
  <si>
    <t>Ask students whether the yield coefficient specified in an activated sludge model must necessarily be equal to the yield that would be calculated from substrate removal and waste solids leaving the process. Record their initial expectations without resolving the question.</t>
  </si>
  <si>
    <t>Upload this activity workbook and any required Procera assets. Verify that students can edit the S-X model parameters and can locate state variables in question in steady-state results.</t>
  </si>
  <si>
    <t>20 minutes</t>
  </si>
  <si>
    <r>
      <t>S</t>
    </r>
    <r>
      <rPr>
        <vertAlign val="subscript"/>
        <sz val="11"/>
        <color theme="1"/>
        <rFont val="Aptos Narrow"/>
        <family val="2"/>
      </rPr>
      <t>O</t>
    </r>
    <r>
      <rPr>
        <sz val="11"/>
        <color theme="1"/>
        <rFont val="Aptos Narrow"/>
        <family val="2"/>
      </rPr>
      <t xml:space="preserve"> = 2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</si>
  <si>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t>Y = 0.4, 0.5, 0.6 mg VSS/mg ucBOD
All other parameters at their defaults.</t>
  </si>
  <si>
    <r>
      <rPr>
        <b/>
        <sz val="11"/>
        <color theme="1"/>
        <rFont val="Aptos Narrow"/>
        <family val="2"/>
      </rPr>
      <t xml:space="preserve">1. </t>
    </r>
    <r>
      <rPr>
        <sz val="11"/>
        <color theme="1"/>
        <rFont val="Aptos Narrow"/>
        <family val="2"/>
      </rPr>
      <t xml:space="preserve">Complete written answer to Q1 including your calculations, tables, and graphs.
</t>
    </r>
    <r>
      <rPr>
        <b/>
        <sz val="11"/>
        <color theme="1"/>
        <rFont val="Aptos Narrow"/>
        <family val="2"/>
      </rPr>
      <t>2.</t>
    </r>
    <r>
      <rPr>
        <sz val="11"/>
        <color theme="1"/>
        <rFont val="Aptos Narrow"/>
        <family val="2"/>
      </rPr>
      <t xml:space="preserve"> Procera project file (PCM), named Q1.pcm</t>
    </r>
  </si>
  <si>
    <t>25-30 minutes</t>
  </si>
  <si>
    <r>
      <t>Y = 0.6 mg VSS/mg ucBOD and k</t>
    </r>
    <r>
      <rPr>
        <vertAlign val="subscript"/>
        <sz val="11"/>
        <color theme="1"/>
        <rFont val="Aptos Narrow"/>
        <family val="2"/>
      </rPr>
      <t>d</t>
    </r>
    <r>
      <rPr>
        <sz val="11"/>
        <color theme="1"/>
        <rFont val="Aptos Narrow"/>
        <family val="2"/>
      </rPr>
      <t xml:space="preserve"> = 0.02, 0.06, 0.12 d</t>
    </r>
    <r>
      <rPr>
        <vertAlign val="superscript"/>
        <sz val="11"/>
        <color theme="1"/>
        <rFont val="Aptos Narrow"/>
        <family val="2"/>
      </rPr>
      <t>-1</t>
    </r>
    <r>
      <rPr>
        <sz val="11"/>
        <color theme="1"/>
        <rFont val="Aptos Narrow"/>
        <family val="2"/>
      </rPr>
      <t xml:space="preserve">
All other parameters at their defaults.</t>
    </r>
  </si>
  <si>
    <r>
      <rPr>
        <b/>
        <sz val="11"/>
        <color theme="1"/>
        <rFont val="Aptos Narrow"/>
        <family val="2"/>
      </rPr>
      <t xml:space="preserve">1. </t>
    </r>
    <r>
      <rPr>
        <sz val="11"/>
        <color theme="1"/>
        <rFont val="Aptos Narrow"/>
        <family val="2"/>
      </rPr>
      <t xml:space="preserve">Complete written answer to Q2, including the completed results table and graphs.
</t>
    </r>
    <r>
      <rPr>
        <b/>
        <sz val="11"/>
        <color theme="1"/>
        <rFont val="Aptos Narrow"/>
        <family val="2"/>
      </rPr>
      <t>2.</t>
    </r>
    <r>
      <rPr>
        <sz val="11"/>
        <color theme="1"/>
        <rFont val="Aptos Narrow"/>
        <family val="2"/>
      </rPr>
      <t xml:space="preserve"> Procera project file (PCM), named Q2.pcm</t>
    </r>
  </si>
  <si>
    <t>Approximately 45-50 minutes, excluding any instructor-led discussion</t>
  </si>
  <si>
    <r>
      <t>Keep the specific decay rate constant at k</t>
    </r>
    <r>
      <rPr>
        <vertAlign val="subscript"/>
        <sz val="11"/>
        <color theme="1"/>
        <rFont val="Aptos Narrow"/>
        <family val="2"/>
      </rPr>
      <t>d</t>
    </r>
    <r>
      <rPr>
        <sz val="11"/>
        <color theme="1"/>
        <rFont val="Aptos Narrow"/>
        <family val="2"/>
      </rPr>
      <t>=0.06 d</t>
    </r>
    <r>
      <rPr>
        <vertAlign val="superscript"/>
        <sz val="11"/>
        <color theme="1"/>
        <rFont val="Aptos Narrow"/>
        <family val="2"/>
      </rPr>
      <t>-1</t>
    </r>
    <r>
      <rPr>
        <sz val="11"/>
        <color theme="1"/>
        <rFont val="Aptos Narrow"/>
        <family val="2"/>
      </rPr>
      <t xml:space="preserve"> and vary only the model yield coefficient, Y. For each case, calculate the observed yield and sludge retention time (SRT). Compare the results and explain how the model yield coefficient is related to the observed yield. Use the calculated SRT values to assess whether changes in solids retention could account for the observed differences.</t>
    </r>
  </si>
  <si>
    <r>
      <t>Keep the model yield coefficient constant at 0.60 mg VSS/mg ucBOD and vary only the specific decay rate, k</t>
    </r>
    <r>
      <rPr>
        <vertAlign val="subscript"/>
        <sz val="11"/>
        <color theme="1"/>
        <rFont val="Aptos Narrow"/>
        <family val="2"/>
      </rPr>
      <t>d</t>
    </r>
    <r>
      <rPr>
        <sz val="11"/>
        <color theme="1"/>
        <rFont val="Aptos Narrow"/>
        <family val="2"/>
      </rPr>
      <t>. For each case, calculate the observed yield and sludge retention time (SRT). Compare the results and explain how the specific decay rate affects the observed yield. Use the calculated SRT values to assess whether changes in solids retention could account for the observed differences.</t>
    </r>
  </si>
  <si>
    <r>
      <rPr>
        <b/>
        <sz val="11"/>
        <color theme="1"/>
        <rFont val="Aptos Narrow"/>
        <family val="2"/>
      </rPr>
      <t>1.</t>
    </r>
    <r>
      <rPr>
        <sz val="11"/>
        <color theme="1"/>
        <rFont val="Aptos Narrow"/>
        <family val="2"/>
      </rPr>
      <t xml:space="preserve"> Use the same Procera project and operating conditions as in Q1. Fix Y at 0.6 mg VSS/mg ucBOD.
</t>
    </r>
    <r>
      <rPr>
        <b/>
        <sz val="11"/>
        <color theme="1"/>
        <rFont val="Aptos Narrow"/>
        <family val="2"/>
      </rPr>
      <t xml:space="preserve">2. </t>
    </r>
    <r>
      <rPr>
        <sz val="11"/>
        <color theme="1"/>
        <rFont val="Aptos Narrow"/>
        <family val="2"/>
      </rPr>
      <t>Perform steady-state simulations for k</t>
    </r>
    <r>
      <rPr>
        <vertAlign val="subscript"/>
        <sz val="11"/>
        <color theme="1"/>
        <rFont val="Aptos Narrow"/>
        <family val="2"/>
      </rPr>
      <t>d</t>
    </r>
    <r>
      <rPr>
        <sz val="11"/>
        <color theme="1"/>
        <rFont val="Aptos Narrow"/>
        <family val="2"/>
      </rPr>
      <t xml:space="preserve"> = 0.02, 0.06, and 0.12 d</t>
    </r>
    <r>
      <rPr>
        <vertAlign val="superscript"/>
        <sz val="11"/>
        <color theme="1"/>
        <rFont val="Aptos Narrow"/>
        <family val="2"/>
      </rPr>
      <t>-1</t>
    </r>
    <r>
      <rPr>
        <sz val="11"/>
        <color theme="1"/>
        <rFont val="Aptos Narrow"/>
        <family val="2"/>
      </rPr>
      <t>. Change only k</t>
    </r>
    <r>
      <rPr>
        <vertAlign val="subscript"/>
        <sz val="11"/>
        <color theme="1"/>
        <rFont val="Aptos Narrow"/>
        <family val="2"/>
      </rPr>
      <t>d</t>
    </r>
    <r>
      <rPr>
        <sz val="11"/>
        <color theme="1"/>
        <rFont val="Aptos Narrow"/>
        <family val="2"/>
      </rPr>
      <t xml:space="preserve">.
</t>
    </r>
    <r>
      <rPr>
        <b/>
        <sz val="11"/>
        <color theme="1"/>
        <rFont val="Aptos Narrow"/>
        <family val="2"/>
      </rPr>
      <t>3.</t>
    </r>
    <r>
      <rPr>
        <sz val="11"/>
        <color theme="1"/>
        <rFont val="Aptos Narrow"/>
        <family val="2"/>
      </rPr>
      <t xml:space="preserve"> For each case, record steady-state effluent substrate concentration (Se), and biomass concentration in reactor (X</t>
    </r>
    <r>
      <rPr>
        <vertAlign val="subscript"/>
        <sz val="11"/>
        <color theme="1"/>
        <rFont val="Aptos Narrow"/>
        <family val="2"/>
      </rPr>
      <t>H,R</t>
    </r>
    <r>
      <rPr>
        <sz val="11"/>
        <color theme="1"/>
        <rFont val="Aptos Narrow"/>
        <family val="2"/>
      </rPr>
      <t>), Effluent (X</t>
    </r>
    <r>
      <rPr>
        <vertAlign val="subscript"/>
        <sz val="11"/>
        <color theme="1"/>
        <rFont val="Aptos Narrow"/>
        <family val="2"/>
      </rPr>
      <t>H,E</t>
    </r>
    <r>
      <rPr>
        <sz val="11"/>
        <color theme="1"/>
        <rFont val="Aptos Narrow"/>
        <family val="2"/>
      </rPr>
      <t>), and Sludge Unit (X</t>
    </r>
    <r>
      <rPr>
        <vertAlign val="subscript"/>
        <sz val="11"/>
        <color theme="1"/>
        <rFont val="Aptos Narrow"/>
        <family val="2"/>
      </rPr>
      <t>H,W</t>
    </r>
    <r>
      <rPr>
        <sz val="11"/>
        <color theme="1"/>
        <rFont val="Aptos Narrow"/>
        <family val="2"/>
      </rPr>
      <t xml:space="preserve">).
</t>
    </r>
    <r>
      <rPr>
        <b/>
        <sz val="11"/>
        <color theme="1"/>
        <rFont val="Aptos Narrow"/>
        <family val="2"/>
      </rPr>
      <t>4.</t>
    </r>
    <r>
      <rPr>
        <sz val="11"/>
        <color theme="1"/>
        <rFont val="Aptos Narrow"/>
        <family val="2"/>
      </rPr>
      <t xml:space="preserve"> Calculate substrate removal rate (P</t>
    </r>
    <r>
      <rPr>
        <vertAlign val="subscript"/>
        <sz val="11"/>
        <color theme="1"/>
        <rFont val="Aptos Narrow"/>
        <family val="2"/>
      </rPr>
      <t>S</t>
    </r>
    <r>
      <rPr>
        <sz val="11"/>
        <color theme="1"/>
        <rFont val="Aptos Narrow"/>
        <family val="2"/>
      </rPr>
      <t>):
P</t>
    </r>
    <r>
      <rPr>
        <vertAlign val="subscript"/>
        <sz val="11"/>
        <color theme="1"/>
        <rFont val="Aptos Narrow"/>
        <family val="2"/>
      </rPr>
      <t>S</t>
    </r>
    <r>
      <rPr>
        <sz val="11"/>
        <color theme="1"/>
        <rFont val="Aptos Narrow"/>
        <family val="2"/>
      </rPr>
      <t xml:space="preserve"> = Q</t>
    </r>
    <r>
      <rPr>
        <vertAlign val="subscript"/>
        <sz val="11"/>
        <color theme="1"/>
        <rFont val="Aptos Narrow"/>
        <family val="2"/>
      </rPr>
      <t>in</t>
    </r>
    <r>
      <rPr>
        <sz val="11"/>
        <color theme="1"/>
        <rFont val="Aptos Narrow"/>
        <family val="2"/>
      </rPr>
      <t>(S</t>
    </r>
    <r>
      <rPr>
        <vertAlign val="subscript"/>
        <sz val="11"/>
        <color theme="1"/>
        <rFont val="Aptos Narrow"/>
        <family val="2"/>
      </rPr>
      <t>0</t>
    </r>
    <r>
      <rPr>
        <sz val="11"/>
        <color theme="1"/>
        <rFont val="Aptos Narrow"/>
        <family val="2"/>
      </rPr>
      <t>-S</t>
    </r>
    <r>
      <rPr>
        <vertAlign val="subscript"/>
        <sz val="11"/>
        <color theme="1"/>
        <rFont val="Aptos Narrow"/>
        <family val="2"/>
      </rPr>
      <t>e</t>
    </r>
    <r>
      <rPr>
        <sz val="11"/>
        <color theme="1"/>
        <rFont val="Aptos Narrow"/>
        <family val="2"/>
      </rPr>
      <t>)
where Q</t>
    </r>
    <r>
      <rPr>
        <vertAlign val="subscript"/>
        <sz val="11"/>
        <color theme="1"/>
        <rFont val="Aptos Narrow"/>
        <family val="2"/>
      </rPr>
      <t>in</t>
    </r>
    <r>
      <rPr>
        <sz val="11"/>
        <color theme="1"/>
        <rFont val="Aptos Narrow"/>
        <family val="2"/>
      </rPr>
      <t xml:space="preserve"> is influent flowrate.
</t>
    </r>
    <r>
      <rPr>
        <b/>
        <sz val="11"/>
        <color theme="1"/>
        <rFont val="Aptos Narrow"/>
        <family val="2"/>
      </rPr>
      <t>5.</t>
    </r>
    <r>
      <rPr>
        <sz val="11"/>
        <color theme="1"/>
        <rFont val="Aptos Narrow"/>
        <family val="2"/>
      </rPr>
      <t xml:space="preserve"> Calculate observed biomass output rate (P</t>
    </r>
    <r>
      <rPr>
        <vertAlign val="subscript"/>
        <sz val="11"/>
        <color theme="1"/>
        <rFont val="Aptos Narrow"/>
        <family val="2"/>
      </rPr>
      <t>B</t>
    </r>
    <r>
      <rPr>
        <sz val="11"/>
        <color theme="1"/>
        <rFont val="Aptos Narrow"/>
        <family val="2"/>
      </rPr>
      <t>) as the sum of biomass leaving the system through Effluent and Sludge Unit. Use following formula:
P</t>
    </r>
    <r>
      <rPr>
        <vertAlign val="subscript"/>
        <sz val="11"/>
        <color theme="1"/>
        <rFont val="Aptos Narrow"/>
        <family val="2"/>
      </rPr>
      <t>B</t>
    </r>
    <r>
      <rPr>
        <sz val="11"/>
        <color theme="1"/>
        <rFont val="Aptos Narrow"/>
        <family val="2"/>
      </rPr>
      <t xml:space="preserve"> = 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 (Q</t>
    </r>
    <r>
      <rPr>
        <vertAlign val="subscript"/>
        <sz val="11"/>
        <color theme="1"/>
        <rFont val="Aptos Narrow"/>
        <family val="2"/>
      </rPr>
      <t>in</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H,E</t>
    </r>
    <r>
      <rPr>
        <sz val="11"/>
        <color theme="1"/>
        <rFont val="Aptos Narrow"/>
        <family val="2"/>
      </rPr>
      <t xml:space="preserve">
where Q</t>
    </r>
    <r>
      <rPr>
        <vertAlign val="subscript"/>
        <sz val="11"/>
        <color theme="1"/>
        <rFont val="Aptos Narrow"/>
        <family val="2"/>
      </rPr>
      <t>W</t>
    </r>
    <r>
      <rPr>
        <sz val="11"/>
        <color theme="1"/>
        <rFont val="Aptos Narrow"/>
        <family val="2"/>
      </rPr>
      <t xml:space="preserve"> is the WAS flowrate.</t>
    </r>
    <r>
      <rPr>
        <b/>
        <sz val="11"/>
        <color theme="1"/>
        <rFont val="Aptos Narrow"/>
        <family val="2"/>
      </rPr>
      <t xml:space="preserve">
6.</t>
    </r>
    <r>
      <rPr>
        <sz val="11"/>
        <color theme="1"/>
        <rFont val="Aptos Narrow"/>
        <family val="2"/>
      </rPr>
      <t xml:space="preserve"> Calculate sludge retention time (SRT):
SRT = V</t>
    </r>
    <r>
      <rPr>
        <vertAlign val="subscript"/>
        <sz val="11"/>
        <color theme="1"/>
        <rFont val="Aptos Narrow"/>
        <family val="2"/>
      </rPr>
      <t>R</t>
    </r>
    <r>
      <rPr>
        <sz val="11"/>
        <color theme="1"/>
        <rFont val="Aptos Narrow"/>
        <family val="2"/>
      </rPr>
      <t>X</t>
    </r>
    <r>
      <rPr>
        <vertAlign val="subscript"/>
        <sz val="11"/>
        <color theme="1"/>
        <rFont val="Aptos Narrow"/>
        <family val="2"/>
      </rPr>
      <t>H,R</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t>
    </r>
    <r>
      <rPr>
        <b/>
        <sz val="11"/>
        <color theme="1"/>
        <rFont val="Aptos Narrow"/>
        <family val="2"/>
      </rPr>
      <t>7.</t>
    </r>
    <r>
      <rPr>
        <sz val="11"/>
        <color theme="1"/>
        <rFont val="Aptos Narrow"/>
        <family val="2"/>
      </rPr>
      <t xml:space="preserve"> Calculate the observed yield (Y</t>
    </r>
    <r>
      <rPr>
        <vertAlign val="subscript"/>
        <sz val="11"/>
        <color theme="1"/>
        <rFont val="Aptos Narrow"/>
        <family val="2"/>
      </rPr>
      <t>obs</t>
    </r>
    <r>
      <rPr>
        <sz val="11"/>
        <color theme="1"/>
        <rFont val="Aptos Narrow"/>
        <family val="2"/>
      </rPr>
      <t>) as the ratio of observed biomass output rate and the substrate removal rate:
Y</t>
    </r>
    <r>
      <rPr>
        <vertAlign val="subscript"/>
        <sz val="11"/>
        <color theme="1"/>
        <rFont val="Aptos Narrow"/>
        <family val="2"/>
      </rPr>
      <t>obs</t>
    </r>
    <r>
      <rPr>
        <sz val="11"/>
        <color theme="1"/>
        <rFont val="Aptos Narrow"/>
        <family val="2"/>
      </rPr>
      <t xml:space="preserve"> = P</t>
    </r>
    <r>
      <rPr>
        <vertAlign val="subscript"/>
        <sz val="11"/>
        <color theme="1"/>
        <rFont val="Aptos Narrow"/>
        <family val="2"/>
      </rPr>
      <t>B</t>
    </r>
    <r>
      <rPr>
        <sz val="11"/>
        <color theme="1"/>
        <rFont val="Aptos Narrow"/>
        <family val="2"/>
      </rPr>
      <t xml:space="preserve"> / P</t>
    </r>
    <r>
      <rPr>
        <vertAlign val="subscript"/>
        <sz val="11"/>
        <color theme="1"/>
        <rFont val="Aptos Narrow"/>
        <family val="2"/>
      </rPr>
      <t>S</t>
    </r>
    <r>
      <rPr>
        <sz val="11"/>
        <color theme="1"/>
        <rFont val="Aptos Narrow"/>
        <family val="2"/>
      </rPr>
      <t xml:space="preserve">
</t>
    </r>
    <r>
      <rPr>
        <b/>
        <sz val="11"/>
        <color theme="1"/>
        <rFont val="Aptos Narrow"/>
        <family val="2"/>
      </rPr>
      <t>8.</t>
    </r>
    <r>
      <rPr>
        <sz val="11"/>
        <color theme="1"/>
        <rFont val="Aptos Narrow"/>
        <family val="2"/>
      </rPr>
      <t xml:space="preserve"> Complete the results table and plot Y</t>
    </r>
    <r>
      <rPr>
        <vertAlign val="subscript"/>
        <sz val="11"/>
        <color theme="1"/>
        <rFont val="Aptos Narrow"/>
        <family val="2"/>
      </rPr>
      <t>obs</t>
    </r>
    <r>
      <rPr>
        <sz val="11"/>
        <color theme="1"/>
        <rFont val="Aptos Narrow"/>
        <family val="2"/>
      </rPr>
      <t xml:space="preserve"> against k</t>
    </r>
    <r>
      <rPr>
        <vertAlign val="subscript"/>
        <sz val="11"/>
        <color theme="1"/>
        <rFont val="Aptos Narrow"/>
        <family val="2"/>
      </rPr>
      <t>d</t>
    </r>
    <r>
      <rPr>
        <sz val="11"/>
        <color theme="1"/>
        <rFont val="Aptos Narrow"/>
        <family val="2"/>
      </rPr>
      <t xml:space="preserve">.
</t>
    </r>
    <r>
      <rPr>
        <b/>
        <sz val="11"/>
        <color theme="1"/>
        <rFont val="Aptos Narrow"/>
        <family val="2"/>
      </rPr>
      <t xml:space="preserve">9. </t>
    </r>
    <r>
      <rPr>
        <sz val="11"/>
        <color theme="1"/>
        <rFont val="Aptos Narrow"/>
        <family val="2"/>
      </rPr>
      <t>Compare calculated SRT values before interpreting the observed-yield trend.</t>
    </r>
    <r>
      <rPr>
        <b/>
        <sz val="11"/>
        <color theme="1"/>
        <rFont val="Aptos Narrow"/>
        <family val="2"/>
      </rPr>
      <t xml:space="preserve">
10.</t>
    </r>
    <r>
      <rPr>
        <sz val="11"/>
        <color theme="1"/>
        <rFont val="Aptos Narrow"/>
        <family val="2"/>
      </rPr>
      <t xml:space="preserve"> Determine whether the changes in observed yield are accompanied by substantial changes in SRT. Use this comparison to support your interpretation of the effect of k</t>
    </r>
    <r>
      <rPr>
        <vertAlign val="subscript"/>
        <sz val="11"/>
        <color theme="1"/>
        <rFont val="Aptos Narrow"/>
        <family val="2"/>
      </rPr>
      <t>d</t>
    </r>
    <r>
      <rPr>
        <sz val="11"/>
        <color theme="1"/>
        <rFont val="Aptos Narrow"/>
        <family val="2"/>
      </rPr>
      <t>.</t>
    </r>
  </si>
  <si>
    <t>This activity investigates the distinction between the model yield coefficient and the observed yield of an activated sludge process. Students perform controlled steady-state simulations in which the model yield coefficient and the specific decay rate are varied independently. For each case, they calculate observed yield and sludge retention time from simulated substrate and biomass results. SRT is used as a comparison variable when interpreting changes in observed yield, allowing students to examine whether differences among the simulation cases can be associated with changes in solids retention. The activity is designed so that students infer the relationships from their own simulation results and calculations rather than being given the expected trends.</t>
  </si>
  <si>
    <t>The student will be able to calculate observed yield and analyze its relationship with the specified model yield coefficient using steady-state simulation results and SRT comparisons.</t>
  </si>
  <si>
    <t>The student will be able to analyze the effect of the specific decay rate on observed yield while accounting for possible changes in solids retention.</t>
  </si>
  <si>
    <t>Students conduct controlled simulations, calculate derived process quantities, compare multiple simulation cases, examine whether changes in SRT could contribute to the observed responses, and interpret relationships among model parameters and process-level observations. These tasks require analysis rather than only application of formulas.</t>
  </si>
  <si>
    <t>In Q1, students vary the model yield coefficient while keeping the specific decay rate constant. In Q2, the model yield is held constant while the specific decay rate is varied. In both questions, students calculate observed yield and SRT from the steady-state simulation results. Ask students to examine the SRT values before attributing differences in observed yield to the parameter being varied. Do not state the expected trends before the calculations are completed.</t>
  </si>
  <si>
    <t>Ask students to compare the Y–Yobs relationship obtained in Q1 with the kd–Yobs relationship obtained in Q2. Require them to use both their observed-yield and SRT results to support their interpretation of each controlled parameter change.</t>
  </si>
  <si>
    <t>Evaluation should focus on correct extraction of simulation results, correct calculation of substrate removal, biomass output, observed yield, and SRT, appropriate presentation of the requested graphs, and whether the conclusions are supported by the student's own numerical evidence.</t>
  </si>
  <si>
    <r>
      <rPr>
        <b/>
        <sz val="11"/>
        <color theme="1"/>
        <rFont val="Aptos Narrow"/>
        <family val="2"/>
      </rPr>
      <t>1.</t>
    </r>
    <r>
      <rPr>
        <sz val="11"/>
        <color theme="1"/>
        <rFont val="Aptos Narrow"/>
        <family val="2"/>
      </rPr>
      <t xml:space="preserve"> Use the prescribed Procera project, topology, and operating conditions. Fix k</t>
    </r>
    <r>
      <rPr>
        <vertAlign val="subscript"/>
        <sz val="11"/>
        <color theme="1"/>
        <rFont val="Aptos Narrow"/>
        <family val="2"/>
      </rPr>
      <t>d</t>
    </r>
    <r>
      <rPr>
        <sz val="11"/>
        <color theme="1"/>
        <rFont val="Aptos Narrow"/>
        <family val="2"/>
      </rPr>
      <t xml:space="preserve"> at 0.06 d</t>
    </r>
    <r>
      <rPr>
        <vertAlign val="superscript"/>
        <sz val="11"/>
        <color theme="1"/>
        <rFont val="Aptos Narrow"/>
        <family val="2"/>
      </rPr>
      <t>-1</t>
    </r>
    <r>
      <rPr>
        <sz val="11"/>
        <color theme="1"/>
        <rFont val="Aptos Narrow"/>
        <family val="2"/>
      </rPr>
      <t xml:space="preserve">.
</t>
    </r>
    <r>
      <rPr>
        <b/>
        <sz val="11"/>
        <color theme="1"/>
        <rFont val="Aptos Narrow"/>
        <family val="2"/>
      </rPr>
      <t xml:space="preserve">2. </t>
    </r>
    <r>
      <rPr>
        <sz val="11"/>
        <color theme="1"/>
        <rFont val="Aptos Narrow"/>
        <family val="2"/>
      </rPr>
      <t xml:space="preserve">Perform steady-state simulations for Y = 0.4, 0.5, 0.6 mg VSS/mg ucBOD. Change only Y.
</t>
    </r>
    <r>
      <rPr>
        <b/>
        <sz val="11"/>
        <color theme="1"/>
        <rFont val="Aptos Narrow"/>
        <family val="2"/>
      </rPr>
      <t>3.</t>
    </r>
    <r>
      <rPr>
        <sz val="11"/>
        <color theme="1"/>
        <rFont val="Aptos Narrow"/>
        <family val="2"/>
      </rPr>
      <t xml:space="preserve"> For each case, record steady-state effluent substrate concentration (Se), and biomass concentration in reactor (X</t>
    </r>
    <r>
      <rPr>
        <vertAlign val="subscript"/>
        <sz val="11"/>
        <color theme="1"/>
        <rFont val="Aptos Narrow"/>
        <family val="2"/>
      </rPr>
      <t>H,R</t>
    </r>
    <r>
      <rPr>
        <sz val="11"/>
        <color theme="1"/>
        <rFont val="Aptos Narrow"/>
        <family val="2"/>
      </rPr>
      <t>), Effluent (X</t>
    </r>
    <r>
      <rPr>
        <vertAlign val="subscript"/>
        <sz val="11"/>
        <color theme="1"/>
        <rFont val="Aptos Narrow"/>
        <family val="2"/>
      </rPr>
      <t>H,E</t>
    </r>
    <r>
      <rPr>
        <sz val="11"/>
        <color theme="1"/>
        <rFont val="Aptos Narrow"/>
        <family val="2"/>
      </rPr>
      <t>), and Sludge Unit (X</t>
    </r>
    <r>
      <rPr>
        <vertAlign val="subscript"/>
        <sz val="11"/>
        <color theme="1"/>
        <rFont val="Aptos Narrow"/>
        <family val="2"/>
      </rPr>
      <t>H,W</t>
    </r>
    <r>
      <rPr>
        <sz val="11"/>
        <color theme="1"/>
        <rFont val="Aptos Narrow"/>
        <family val="2"/>
      </rPr>
      <t xml:space="preserve">).
</t>
    </r>
    <r>
      <rPr>
        <b/>
        <sz val="11"/>
        <color theme="1"/>
        <rFont val="Aptos Narrow"/>
        <family val="2"/>
      </rPr>
      <t>4.</t>
    </r>
    <r>
      <rPr>
        <sz val="11"/>
        <color theme="1"/>
        <rFont val="Aptos Narrow"/>
        <family val="2"/>
      </rPr>
      <t xml:space="preserve"> Calculate substrate removal rate (P</t>
    </r>
    <r>
      <rPr>
        <vertAlign val="subscript"/>
        <sz val="11"/>
        <color theme="1"/>
        <rFont val="Aptos Narrow"/>
        <family val="2"/>
      </rPr>
      <t>S</t>
    </r>
    <r>
      <rPr>
        <sz val="11"/>
        <color theme="1"/>
        <rFont val="Aptos Narrow"/>
        <family val="2"/>
      </rPr>
      <t>):
P</t>
    </r>
    <r>
      <rPr>
        <vertAlign val="subscript"/>
        <sz val="11"/>
        <color theme="1"/>
        <rFont val="Aptos Narrow"/>
        <family val="2"/>
      </rPr>
      <t>S</t>
    </r>
    <r>
      <rPr>
        <sz val="11"/>
        <color theme="1"/>
        <rFont val="Aptos Narrow"/>
        <family val="2"/>
      </rPr>
      <t xml:space="preserve"> = Q</t>
    </r>
    <r>
      <rPr>
        <vertAlign val="subscript"/>
        <sz val="11"/>
        <color theme="1"/>
        <rFont val="Aptos Narrow"/>
        <family val="2"/>
      </rPr>
      <t>in</t>
    </r>
    <r>
      <rPr>
        <sz val="11"/>
        <color theme="1"/>
        <rFont val="Aptos Narrow"/>
        <family val="2"/>
      </rPr>
      <t>(S</t>
    </r>
    <r>
      <rPr>
        <vertAlign val="subscript"/>
        <sz val="11"/>
        <color theme="1"/>
        <rFont val="Aptos Narrow"/>
        <family val="2"/>
      </rPr>
      <t>0</t>
    </r>
    <r>
      <rPr>
        <sz val="11"/>
        <color theme="1"/>
        <rFont val="Aptos Narrow"/>
        <family val="2"/>
      </rPr>
      <t>-S</t>
    </r>
    <r>
      <rPr>
        <vertAlign val="subscript"/>
        <sz val="11"/>
        <color theme="1"/>
        <rFont val="Aptos Narrow"/>
        <family val="2"/>
      </rPr>
      <t>e</t>
    </r>
    <r>
      <rPr>
        <sz val="11"/>
        <color theme="1"/>
        <rFont val="Aptos Narrow"/>
        <family val="2"/>
      </rPr>
      <t>)
where Q</t>
    </r>
    <r>
      <rPr>
        <vertAlign val="subscript"/>
        <sz val="11"/>
        <color theme="1"/>
        <rFont val="Aptos Narrow"/>
        <family val="2"/>
      </rPr>
      <t>in</t>
    </r>
    <r>
      <rPr>
        <sz val="11"/>
        <color theme="1"/>
        <rFont val="Aptos Narrow"/>
        <family val="2"/>
      </rPr>
      <t xml:space="preserve"> is influent flowrate.
</t>
    </r>
    <r>
      <rPr>
        <b/>
        <sz val="11"/>
        <color theme="1"/>
        <rFont val="Aptos Narrow"/>
        <family val="2"/>
      </rPr>
      <t>5.</t>
    </r>
    <r>
      <rPr>
        <sz val="11"/>
        <color theme="1"/>
        <rFont val="Aptos Narrow"/>
        <family val="2"/>
      </rPr>
      <t xml:space="preserve"> Calculate observed biomass output rate (P</t>
    </r>
    <r>
      <rPr>
        <vertAlign val="subscript"/>
        <sz val="11"/>
        <color theme="1"/>
        <rFont val="Aptos Narrow"/>
        <family val="2"/>
      </rPr>
      <t>B</t>
    </r>
    <r>
      <rPr>
        <sz val="11"/>
        <color theme="1"/>
        <rFont val="Aptos Narrow"/>
        <family val="2"/>
      </rPr>
      <t>) as the sum of biomass leaving the system through Effluent and Sludge Unit. Use the following formula:
P</t>
    </r>
    <r>
      <rPr>
        <vertAlign val="subscript"/>
        <sz val="11"/>
        <color theme="1"/>
        <rFont val="Aptos Narrow"/>
        <family val="2"/>
      </rPr>
      <t>B</t>
    </r>
    <r>
      <rPr>
        <sz val="11"/>
        <color theme="1"/>
        <rFont val="Aptos Narrow"/>
        <family val="2"/>
      </rPr>
      <t xml:space="preserve"> = 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 (Q</t>
    </r>
    <r>
      <rPr>
        <vertAlign val="subscript"/>
        <sz val="11"/>
        <color theme="1"/>
        <rFont val="Aptos Narrow"/>
        <family val="2"/>
      </rPr>
      <t>in</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H,E</t>
    </r>
    <r>
      <rPr>
        <sz val="11"/>
        <color theme="1"/>
        <rFont val="Aptos Narrow"/>
        <family val="2"/>
      </rPr>
      <t xml:space="preserve">
where Q</t>
    </r>
    <r>
      <rPr>
        <vertAlign val="subscript"/>
        <sz val="11"/>
        <color theme="1"/>
        <rFont val="Aptos Narrow"/>
        <family val="2"/>
      </rPr>
      <t>W</t>
    </r>
    <r>
      <rPr>
        <sz val="11"/>
        <color theme="1"/>
        <rFont val="Aptos Narrow"/>
        <family val="2"/>
      </rPr>
      <t xml:space="preserve"> is the WAS flowrate.</t>
    </r>
    <r>
      <rPr>
        <b/>
        <sz val="11"/>
        <color theme="1"/>
        <rFont val="Aptos Narrow"/>
        <family val="2"/>
      </rPr>
      <t xml:space="preserve">
6.</t>
    </r>
    <r>
      <rPr>
        <sz val="11"/>
        <color theme="1"/>
        <rFont val="Aptos Narrow"/>
        <family val="2"/>
      </rPr>
      <t xml:space="preserve"> Calculate sludge retention time (SRT):
SRT = V</t>
    </r>
    <r>
      <rPr>
        <vertAlign val="subscript"/>
        <sz val="11"/>
        <color theme="1"/>
        <rFont val="Aptos Narrow"/>
        <family val="2"/>
      </rPr>
      <t>R</t>
    </r>
    <r>
      <rPr>
        <sz val="11"/>
        <color theme="1"/>
        <rFont val="Aptos Narrow"/>
        <family val="2"/>
      </rPr>
      <t>X</t>
    </r>
    <r>
      <rPr>
        <vertAlign val="subscript"/>
        <sz val="11"/>
        <color theme="1"/>
        <rFont val="Aptos Narrow"/>
        <family val="2"/>
      </rPr>
      <t>H,R</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t>
    </r>
    <r>
      <rPr>
        <b/>
        <sz val="11"/>
        <color theme="1"/>
        <rFont val="Aptos Narrow"/>
        <family val="2"/>
      </rPr>
      <t>7.</t>
    </r>
    <r>
      <rPr>
        <sz val="11"/>
        <color theme="1"/>
        <rFont val="Aptos Narrow"/>
        <family val="2"/>
      </rPr>
      <t xml:space="preserve"> Calculate the observed yield (Y</t>
    </r>
    <r>
      <rPr>
        <vertAlign val="subscript"/>
        <sz val="11"/>
        <color theme="1"/>
        <rFont val="Aptos Narrow"/>
        <family val="2"/>
      </rPr>
      <t>obs</t>
    </r>
    <r>
      <rPr>
        <sz val="11"/>
        <color theme="1"/>
        <rFont val="Aptos Narrow"/>
        <family val="2"/>
      </rPr>
      <t>) as the ratio of observed biomass output rate and the substrate removal rate:
Y</t>
    </r>
    <r>
      <rPr>
        <vertAlign val="subscript"/>
        <sz val="11"/>
        <color theme="1"/>
        <rFont val="Aptos Narrow"/>
        <family val="2"/>
      </rPr>
      <t>obs</t>
    </r>
    <r>
      <rPr>
        <sz val="11"/>
        <color theme="1"/>
        <rFont val="Aptos Narrow"/>
        <family val="2"/>
      </rPr>
      <t xml:space="preserve"> = P</t>
    </r>
    <r>
      <rPr>
        <vertAlign val="subscript"/>
        <sz val="11"/>
        <color theme="1"/>
        <rFont val="Aptos Narrow"/>
        <family val="2"/>
      </rPr>
      <t>B</t>
    </r>
    <r>
      <rPr>
        <sz val="11"/>
        <color theme="1"/>
        <rFont val="Aptos Narrow"/>
        <family val="2"/>
      </rPr>
      <t xml:space="preserve"> / P</t>
    </r>
    <r>
      <rPr>
        <vertAlign val="subscript"/>
        <sz val="11"/>
        <color theme="1"/>
        <rFont val="Aptos Narrow"/>
        <family val="2"/>
      </rPr>
      <t>S</t>
    </r>
    <r>
      <rPr>
        <sz val="11"/>
        <color theme="1"/>
        <rFont val="Aptos Narrow"/>
        <family val="2"/>
      </rPr>
      <t xml:space="preserve">
</t>
    </r>
    <r>
      <rPr>
        <b/>
        <sz val="11"/>
        <color theme="1"/>
        <rFont val="Aptos Narrow"/>
        <family val="2"/>
      </rPr>
      <t>8.</t>
    </r>
    <r>
      <rPr>
        <sz val="11"/>
        <color theme="1"/>
        <rFont val="Aptos Narrow"/>
        <family val="2"/>
      </rPr>
      <t xml:space="preserve"> Complete the results table and plot Y</t>
    </r>
    <r>
      <rPr>
        <vertAlign val="subscript"/>
        <sz val="11"/>
        <color theme="1"/>
        <rFont val="Aptos Narrow"/>
        <family val="2"/>
      </rPr>
      <t>obs</t>
    </r>
    <r>
      <rPr>
        <sz val="11"/>
        <color theme="1"/>
        <rFont val="Aptos Narrow"/>
        <family val="2"/>
      </rPr>
      <t xml:space="preserve"> against Y.
</t>
    </r>
    <r>
      <rPr>
        <b/>
        <sz val="11"/>
        <color theme="1"/>
        <rFont val="Aptos Narrow"/>
        <family val="2"/>
      </rPr>
      <t xml:space="preserve">9. </t>
    </r>
    <r>
      <rPr>
        <sz val="11"/>
        <color theme="1"/>
        <rFont val="Aptos Narrow"/>
        <family val="2"/>
      </rPr>
      <t>Compare calculated SRT values before interpreting the observed-yield trend.</t>
    </r>
    <r>
      <rPr>
        <b/>
        <sz val="11"/>
        <color theme="1"/>
        <rFont val="Aptos Narrow"/>
        <family val="2"/>
      </rPr>
      <t xml:space="preserve">
10.</t>
    </r>
    <r>
      <rPr>
        <sz val="11"/>
        <color theme="1"/>
        <rFont val="Aptos Narrow"/>
        <family val="2"/>
      </rPr>
      <t xml:space="preserve"> Answer the question using your numerical results and calculations.</t>
    </r>
  </si>
  <si>
    <t>Model yield, observed yield, and biomass decay in activated sludge systems</t>
  </si>
  <si>
    <t>https://youtu.be/ZzWRvQCraBo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</si>
</sst>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1">
    <xf numFmtId="0" fontId="0" fillId="0" borderId="0"/>
  </cellStyleXfs>
  <cellXfs count="195">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0" fillId="6" borderId="11" xfId="0"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3" fillId="5" borderId="11"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3" fillId="5" borderId="14"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1" fillId="4" borderId="8"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10" xfId="0" applyFont="1" applyFill="1" applyBorder="1" applyAlignment="1">
      <alignment horizontal="left" vertical="top" wrapText="1"/>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1" fillId="4" borderId="13" xfId="0" applyFont="1" applyFill="1" applyBorder="1" applyAlignment="1">
      <alignment horizontal="left"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1" fillId="4" borderId="16" xfId="0" applyFont="1" applyFill="1" applyBorder="1" applyAlignment="1">
      <alignment horizontal="left" vertical="top" wrapText="1"/>
    </xf>
    <xf numFmtId="0" fontId="3" fillId="5" borderId="8" xfId="0" applyFont="1" applyFill="1" applyBorder="1" applyAlignment="1">
      <alignment horizontal="justify" vertical="top" wrapText="1"/>
    </xf>
    <xf numFmtId="0" fontId="3" fillId="5" borderId="9" xfId="0" applyFont="1" applyFill="1" applyBorder="1" applyAlignment="1">
      <alignment horizontal="justify" vertical="top" wrapText="1"/>
    </xf>
    <xf numFmtId="0" fontId="3" fillId="5" borderId="10"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1" fillId="4" borderId="8" xfId="0" applyFont="1" applyFill="1" applyBorder="1" applyAlignment="1">
      <alignment horizontal="left" vertical="top"/>
    </xf>
    <xf numFmtId="0" fontId="1" fillId="4" borderId="9" xfId="0" applyFont="1" applyFill="1" applyBorder="1" applyAlignment="1">
      <alignment horizontal="left" vertical="top"/>
    </xf>
    <xf numFmtId="0" fontId="1" fillId="4" borderId="10" xfId="0" applyFont="1" applyFill="1" applyBorder="1" applyAlignment="1">
      <alignment horizontal="left" vertical="top"/>
    </xf>
    <xf numFmtId="0" fontId="1" fillId="4" borderId="11" xfId="0" applyFont="1" applyFill="1" applyBorder="1" applyAlignment="1">
      <alignment horizontal="left" vertical="top"/>
    </xf>
    <xf numFmtId="0" fontId="1" fillId="4" borderId="12" xfId="0" applyFont="1" applyFill="1" applyBorder="1" applyAlignment="1">
      <alignment horizontal="left" vertical="top"/>
    </xf>
    <xf numFmtId="0" fontId="1" fillId="4" borderId="13" xfId="0" applyFont="1" applyFill="1" applyBorder="1" applyAlignment="1">
      <alignment horizontal="left" vertical="top"/>
    </xf>
    <xf numFmtId="0" fontId="1" fillId="4" borderId="14" xfId="0" applyFont="1" applyFill="1" applyBorder="1" applyAlignment="1">
      <alignment horizontal="left" vertical="top"/>
    </xf>
    <xf numFmtId="0" fontId="1" fillId="4" borderId="15" xfId="0" applyFont="1" applyFill="1" applyBorder="1" applyAlignment="1">
      <alignment horizontal="left" vertical="top"/>
    </xf>
    <xf numFmtId="0" fontId="1" fillId="4" borderId="16" xfId="0" applyFont="1" applyFill="1" applyBorder="1" applyAlignment="1">
      <alignment horizontal="left" vertical="top"/>
    </xf>
    <xf numFmtId="0" fontId="3" fillId="6" borderId="11" xfId="0" applyFont="1" applyFill="1" applyBorder="1" applyAlignment="1">
      <alignment horizontal="justify" vertical="top" wrapText="1"/>
    </xf>
    <xf numFmtId="0" fontId="3" fillId="6" borderId="12" xfId="0" applyFont="1" applyFill="1" applyBorder="1" applyAlignment="1">
      <alignment horizontal="justify" vertical="top" wrapText="1"/>
    </xf>
    <xf numFmtId="0" fontId="3" fillId="6" borderId="13" xfId="0" applyFont="1" applyFill="1" applyBorder="1" applyAlignment="1">
      <alignment horizontal="justify" vertical="top" wrapText="1"/>
    </xf>
    <xf numFmtId="0" fontId="3" fillId="5" borderId="12" xfId="0" applyFont="1" applyFill="1" applyBorder="1" applyAlignment="1">
      <alignment horizontal="justify" vertical="top" wrapText="1"/>
    </xf>
    <xf numFmtId="0" fontId="3" fillId="5" borderId="13" xfId="0" applyFont="1" applyFill="1" applyBorder="1" applyAlignment="1">
      <alignment horizontal="justify" vertical="top" wrapText="1"/>
    </xf>
    <xf numFmtId="0" fontId="3" fillId="6" borderId="14" xfId="0" applyFont="1" applyFill="1" applyBorder="1" applyAlignment="1">
      <alignment horizontal="justify" vertical="top" wrapText="1"/>
    </xf>
    <xf numFmtId="0" fontId="3" fillId="6" borderId="15" xfId="0" applyFont="1" applyFill="1" applyBorder="1" applyAlignment="1">
      <alignment horizontal="justify" vertical="top" wrapText="1"/>
    </xf>
    <xf numFmtId="0" fontId="3" fillId="6" borderId="16" xfId="0" applyFont="1" applyFill="1" applyBorder="1" applyAlignment="1">
      <alignment horizontal="justify" vertical="top" wrapText="1"/>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0" fillId="7" borderId="26" xfId="0"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3" fillId="8" borderId="24"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3" fillId="5" borderId="3" xfId="0" applyFont="1"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6" xfId="0" applyFont="1" applyFill="1" applyBorder="1" applyAlignment="1">
      <alignment horizontal="left"/>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0" fillId="5" borderId="5" xfId="0" applyFill="1" applyBorder="1" applyAlignment="1">
      <alignment horizontal="justify" vertical="top" wrapText="1"/>
    </xf>
    <xf numFmtId="0" fontId="1" fillId="4" borderId="1" xfId="0" applyFont="1" applyFill="1" applyBorder="1" applyAlignment="1">
      <alignment horizontal="left" vertical="top"/>
    </xf>
    <xf numFmtId="0" fontId="3" fillId="5" borderId="36" xfId="0" applyFont="1" applyFill="1" applyBorder="1" applyAlignment="1">
      <alignment horizontal="justify" vertical="top" wrapText="1"/>
    </xf>
    <xf numFmtId="0" fontId="0" fillId="5" borderId="36" xfId="0" applyFill="1" applyBorder="1" applyAlignment="1">
      <alignment horizontal="justify" vertical="top" wrapText="1"/>
    </xf>
    <xf numFmtId="0" fontId="3" fillId="6" borderId="6" xfId="0" applyFont="1"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3" fillId="5" borderId="15" xfId="0" applyFont="1"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4" fillId="6" borderId="35" xfId="0" applyFont="1" applyFill="1" applyBorder="1" applyAlignment="1">
      <alignment horizontal="left" vertical="top" wrapText="1"/>
    </xf>
    <xf numFmtId="0" fontId="2" fillId="5"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36" xfId="0" applyFont="1" applyFill="1" applyBorder="1" applyAlignment="1">
      <alignment horizontal="left" vertical="top"/>
    </xf>
    <xf numFmtId="0" fontId="3" fillId="6" borderId="6" xfId="0" applyFont="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3" fillId="5" borderId="6" xfId="0" applyNumberFormat="1" applyFont="1" applyFill="1" applyBorder="1" applyAlignment="1">
      <alignment horizontal="left"/>
    </xf>
    <xf numFmtId="49" fontId="0" fillId="5" borderId="6" xfId="0" applyNumberFormat="1" applyFill="1" applyBorder="1" applyAlignment="1">
      <alignment horizontal="left"/>
    </xf>
    <xf numFmtId="49" fontId="0" fillId="5" borderId="5" xfId="0" applyNumberFormat="1" applyFill="1" applyBorder="1" applyAlignment="1">
      <alignment horizontal="left"/>
    </xf>
    <xf numFmtId="0" fontId="3" fillId="5" borderId="6" xfId="0" applyFon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5" fillId="0" borderId="0" xfId="0" applyFont="1" applyAlignment="1">
      <alignment horizontal="center" vertical="center" wrapText="1"/>
    </xf>
    <xf numFmtId="0" fontId="1" fillId="0" borderId="36" xfId="0" applyFont="1" applyBorder="1" applyAlignment="1">
      <alignment horizontal="left" vertical="top" wrapText="1"/>
    </xf>
    <xf numFmtId="0" fontId="3" fillId="0" borderId="36"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1" fillId="0" borderId="41" xfId="0" applyFont="1" applyBorder="1" applyAlignment="1">
      <alignment horizontal="left" vertical="center"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1" xfId="0" applyFont="1" applyBorder="1" applyAlignment="1">
      <alignment horizontal="justify" vertical="top"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1" fillId="0" borderId="11"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4"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11" xfId="0" applyFont="1" applyBorder="1" applyAlignment="1">
      <alignment horizontal="left" vertical="top" wrapText="1"/>
    </xf>
    <xf numFmtId="0" fontId="6" fillId="10" borderId="14" xfId="0" applyFont="1" applyFill="1" applyBorder="1" applyAlignment="1">
      <alignment horizontal="center" vertical="center" wrapText="1"/>
    </xf>
    <xf numFmtId="0" fontId="1" fillId="0" borderId="42" xfId="0" applyFont="1" applyBorder="1" applyAlignment="1">
      <alignment horizontal="left" vertical="top" wrapText="1"/>
    </xf>
  </cellXfs>
  <cellStyles count="1">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27</xdr:row>
      <xdr:rowOff>95251</xdr:rowOff>
    </xdr:from>
    <xdr:to>
      <xdr:col>28</xdr:col>
      <xdr:colOff>0</xdr:colOff>
      <xdr:row>27</xdr:row>
      <xdr:rowOff>2340344</xdr:rowOff>
    </xdr:to>
    <xdr:pic>
      <xdr:nvPicPr>
        <xdr:cNvPr id="3" name="Resim 2">
          <a:extLst>
            <a:ext uri="{FF2B5EF4-FFF2-40B4-BE49-F238E27FC236}">
              <a16:creationId xmlns:a16="http://schemas.microsoft.com/office/drawing/2014/main" id="{EAEC9B0D-DCEC-2DD6-512F-E3EB3B2EA772}"/>
            </a:ext>
          </a:extLst>
        </xdr:cNvPr>
        <xdr:cNvPicPr>
          <a:picLocks noChangeAspect="1"/>
        </xdr:cNvPicPr>
      </xdr:nvPicPr>
      <xdr:blipFill>
        <a:blip xmlns:r="http://schemas.openxmlformats.org/officeDocument/2006/relationships" r:embed="rId1"/>
        <a:stretch>
          <a:fillRect/>
        </a:stretch>
      </xdr:blipFill>
      <xdr:spPr>
        <a:xfrm>
          <a:off x="1514475" y="7524751"/>
          <a:ext cx="4086225" cy="22450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48358</xdr:colOff>
      <xdr:row>27</xdr:row>
      <xdr:rowOff>109905</xdr:rowOff>
    </xdr:from>
    <xdr:to>
      <xdr:col>28</xdr:col>
      <xdr:colOff>74614</xdr:colOff>
      <xdr:row>27</xdr:row>
      <xdr:rowOff>2356305</xdr:rowOff>
    </xdr:to>
    <xdr:pic>
      <xdr:nvPicPr>
        <xdr:cNvPr id="2" name="Resim 1">
          <a:extLst>
            <a:ext uri="{FF2B5EF4-FFF2-40B4-BE49-F238E27FC236}">
              <a16:creationId xmlns:a16="http://schemas.microsoft.com/office/drawing/2014/main" id="{5267274D-2033-40A8-BC58-15D00D2FB409}"/>
            </a:ext>
          </a:extLst>
        </xdr:cNvPr>
        <xdr:cNvPicPr>
          <a:picLocks noChangeAspect="1"/>
        </xdr:cNvPicPr>
      </xdr:nvPicPr>
      <xdr:blipFill>
        <a:blip xmlns:r="http://schemas.openxmlformats.org/officeDocument/2006/relationships" r:embed="rId1"/>
        <a:stretch>
          <a:fillRect/>
        </a:stretch>
      </xdr:blipFill>
      <xdr:spPr>
        <a:xfrm>
          <a:off x="1433146" y="7158405"/>
          <a:ext cx="4180622" cy="2246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opLeftCell="G1" workbookViewId="0">
      <selection activeCell="K14" sqref="K14"/>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7" t="s">
        <v>2</v>
      </c>
      <c r="E1" s="7" t="s">
        <v>3</v>
      </c>
      <c r="F1" s="3"/>
      <c r="G1" s="7" t="s">
        <v>4</v>
      </c>
      <c r="H1" s="7" t="s">
        <v>5</v>
      </c>
      <c r="I1" s="3"/>
      <c r="J1" s="7" t="s">
        <v>6</v>
      </c>
      <c r="K1" s="7" t="s">
        <v>7</v>
      </c>
      <c r="L1" s="3"/>
      <c r="M1" s="4" t="s">
        <v>8</v>
      </c>
      <c r="N1" s="3"/>
      <c r="O1" s="3" t="s">
        <v>9</v>
      </c>
      <c r="P1" s="3"/>
      <c r="Q1" s="4" t="s">
        <v>10</v>
      </c>
      <c r="R1" s="4" t="s">
        <v>11</v>
      </c>
      <c r="S1" s="9" t="s">
        <v>12</v>
      </c>
    </row>
    <row r="2" spans="1:19" ht="35.25" customHeight="1" x14ac:dyDescent="0.25">
      <c r="A2" s="6" t="s">
        <v>13</v>
      </c>
      <c r="B2" s="6" t="s">
        <v>14</v>
      </c>
      <c r="C2" s="3"/>
      <c r="D2" s="8" t="s">
        <v>15</v>
      </c>
      <c r="E2" s="8" t="s">
        <v>16</v>
      </c>
      <c r="F2" s="3"/>
      <c r="G2" s="8" t="s">
        <v>15</v>
      </c>
      <c r="H2" s="8" t="s">
        <v>17</v>
      </c>
      <c r="I2" s="3"/>
      <c r="J2" s="8" t="s">
        <v>18</v>
      </c>
      <c r="K2" s="8" t="s">
        <v>19</v>
      </c>
      <c r="L2" s="3"/>
      <c r="M2" s="3" t="s">
        <v>20</v>
      </c>
      <c r="N2" s="3"/>
      <c r="O2" s="3"/>
      <c r="P2" s="3"/>
      <c r="Q2" s="3" t="s">
        <v>21</v>
      </c>
      <c r="R2" s="3" t="s">
        <v>22</v>
      </c>
      <c r="S2" t="s">
        <v>23</v>
      </c>
    </row>
    <row r="3" spans="1:19" ht="35.25" customHeight="1" x14ac:dyDescent="0.25">
      <c r="A3" s="6" t="s">
        <v>24</v>
      </c>
      <c r="B3" s="6" t="s">
        <v>25</v>
      </c>
      <c r="C3" s="3"/>
      <c r="D3" s="8" t="s">
        <v>26</v>
      </c>
      <c r="E3" s="8" t="s">
        <v>27</v>
      </c>
      <c r="F3" s="3"/>
      <c r="G3" s="8" t="s">
        <v>26</v>
      </c>
      <c r="H3" s="8" t="s">
        <v>28</v>
      </c>
      <c r="I3" s="3"/>
      <c r="J3" s="8" t="s">
        <v>29</v>
      </c>
      <c r="K3" s="8" t="s">
        <v>30</v>
      </c>
      <c r="L3" s="3"/>
      <c r="M3" s="3" t="s">
        <v>31</v>
      </c>
      <c r="N3" s="3"/>
      <c r="O3" s="3"/>
      <c r="P3" s="3"/>
      <c r="Q3" s="3" t="s">
        <v>32</v>
      </c>
      <c r="R3" s="3" t="s">
        <v>33</v>
      </c>
      <c r="S3" t="s">
        <v>34</v>
      </c>
    </row>
    <row r="4" spans="1:19" ht="35.25" customHeight="1" x14ac:dyDescent="0.25">
      <c r="A4" s="6" t="s">
        <v>35</v>
      </c>
      <c r="B4" s="6" t="s">
        <v>36</v>
      </c>
      <c r="C4" s="3"/>
      <c r="D4" s="8" t="s">
        <v>37</v>
      </c>
      <c r="E4" s="8" t="s">
        <v>38</v>
      </c>
      <c r="F4" s="3"/>
      <c r="G4" s="8" t="s">
        <v>37</v>
      </c>
      <c r="H4" s="8" t="s">
        <v>39</v>
      </c>
      <c r="I4" s="3"/>
      <c r="J4" s="8" t="s">
        <v>40</v>
      </c>
      <c r="K4" s="8" t="s">
        <v>41</v>
      </c>
      <c r="L4" s="3"/>
      <c r="M4" s="3" t="s">
        <v>42</v>
      </c>
      <c r="N4" s="3"/>
      <c r="O4" s="3"/>
      <c r="P4" s="3"/>
      <c r="Q4" s="3" t="s">
        <v>43</v>
      </c>
      <c r="R4" s="3" t="s">
        <v>44</v>
      </c>
      <c r="S4" t="s">
        <v>45</v>
      </c>
    </row>
    <row r="5" spans="1:19" ht="35.25" customHeight="1" x14ac:dyDescent="0.25">
      <c r="A5" s="6" t="s">
        <v>46</v>
      </c>
      <c r="B5" s="6" t="s">
        <v>47</v>
      </c>
      <c r="C5" s="3"/>
      <c r="D5" s="8" t="s">
        <v>48</v>
      </c>
      <c r="E5" s="8" t="s">
        <v>49</v>
      </c>
      <c r="F5" s="3"/>
      <c r="G5" s="8" t="s">
        <v>48</v>
      </c>
      <c r="H5" s="8" t="s">
        <v>50</v>
      </c>
      <c r="I5" s="3"/>
      <c r="J5" s="8" t="s">
        <v>51</v>
      </c>
      <c r="K5" s="8" t="s">
        <v>52</v>
      </c>
      <c r="L5" s="3"/>
      <c r="M5" s="3" t="s">
        <v>53</v>
      </c>
      <c r="N5" s="3"/>
      <c r="O5" s="3"/>
      <c r="P5" s="3"/>
      <c r="Q5" s="3" t="s">
        <v>54</v>
      </c>
      <c r="R5" s="3" t="s">
        <v>55</v>
      </c>
      <c r="S5" t="s">
        <v>56</v>
      </c>
    </row>
    <row r="6" spans="1:19" ht="35.25" customHeight="1" x14ac:dyDescent="0.25">
      <c r="A6" s="6" t="s">
        <v>57</v>
      </c>
      <c r="B6" s="6" t="s">
        <v>58</v>
      </c>
      <c r="C6" s="3"/>
      <c r="D6" s="8" t="s">
        <v>59</v>
      </c>
      <c r="E6" s="8" t="s">
        <v>60</v>
      </c>
      <c r="F6" s="3"/>
      <c r="G6" s="8" t="s">
        <v>59</v>
      </c>
      <c r="H6" s="8" t="s">
        <v>61</v>
      </c>
      <c r="I6" s="3"/>
      <c r="J6" s="8" t="s">
        <v>62</v>
      </c>
      <c r="K6" s="8" t="s">
        <v>63</v>
      </c>
      <c r="L6" s="3"/>
      <c r="M6" s="3" t="s">
        <v>64</v>
      </c>
      <c r="N6" s="3"/>
      <c r="O6" s="3"/>
      <c r="P6" s="3"/>
      <c r="Q6" s="3" t="s">
        <v>65</v>
      </c>
      <c r="R6" s="3" t="s">
        <v>66</v>
      </c>
      <c r="S6" t="s">
        <v>67</v>
      </c>
    </row>
    <row r="7" spans="1:19" ht="35.25" customHeight="1" x14ac:dyDescent="0.25">
      <c r="A7" s="6" t="s">
        <v>68</v>
      </c>
      <c r="B7" s="6" t="s">
        <v>69</v>
      </c>
      <c r="C7" s="3"/>
      <c r="D7" s="8" t="s">
        <v>70</v>
      </c>
      <c r="E7" s="8" t="s">
        <v>71</v>
      </c>
      <c r="F7" s="3"/>
      <c r="G7" s="8" t="s">
        <v>70</v>
      </c>
      <c r="H7" s="8" t="s">
        <v>72</v>
      </c>
      <c r="I7" s="3"/>
      <c r="J7" s="8" t="s">
        <v>73</v>
      </c>
      <c r="K7" s="8" t="s">
        <v>74</v>
      </c>
      <c r="L7" s="3"/>
      <c r="M7" s="3"/>
      <c r="N7" s="3"/>
      <c r="O7" s="3"/>
      <c r="P7" s="3"/>
      <c r="Q7" s="3"/>
      <c r="R7" s="3"/>
    </row>
    <row r="8" spans="1:19" ht="35.25" customHeight="1" x14ac:dyDescent="0.25">
      <c r="A8" s="3"/>
      <c r="B8" s="3"/>
      <c r="C8" s="3"/>
      <c r="D8" s="8" t="s">
        <v>75</v>
      </c>
      <c r="E8" s="8" t="s">
        <v>76</v>
      </c>
      <c r="F8" s="3"/>
      <c r="G8" s="8" t="s">
        <v>75</v>
      </c>
      <c r="H8" s="8" t="s">
        <v>77</v>
      </c>
      <c r="I8" s="3"/>
      <c r="J8" s="8" t="s">
        <v>78</v>
      </c>
      <c r="K8" s="8" t="s">
        <v>79</v>
      </c>
      <c r="L8" s="3"/>
      <c r="M8" s="3"/>
      <c r="N8" s="3"/>
      <c r="O8" s="3"/>
      <c r="P8" s="3"/>
      <c r="Q8" s="3"/>
      <c r="R8" s="3"/>
    </row>
    <row r="9" spans="1:19" ht="35.25" customHeight="1" x14ac:dyDescent="0.25">
      <c r="A9" s="3"/>
      <c r="B9" s="3"/>
      <c r="C9" s="3"/>
      <c r="D9" s="3"/>
      <c r="E9" s="3"/>
      <c r="F9" s="3"/>
      <c r="G9" s="8" t="s">
        <v>80</v>
      </c>
      <c r="H9" s="8" t="s">
        <v>81</v>
      </c>
      <c r="I9" s="3"/>
      <c r="J9" s="8" t="s">
        <v>82</v>
      </c>
      <c r="K9" s="8" t="s">
        <v>83</v>
      </c>
      <c r="L9" s="3"/>
      <c r="M9" s="3"/>
      <c r="N9" s="3"/>
      <c r="O9" s="3"/>
      <c r="P9" s="3"/>
      <c r="Q9" s="3"/>
      <c r="R9" s="3"/>
    </row>
    <row r="10" spans="1:19" ht="35.25" customHeight="1" x14ac:dyDescent="0.25">
      <c r="A10" s="3"/>
      <c r="B10" s="3"/>
      <c r="C10" s="3"/>
      <c r="D10" s="3"/>
      <c r="E10" s="3"/>
      <c r="F10" s="3"/>
      <c r="G10" s="3"/>
      <c r="H10" s="3"/>
      <c r="I10" s="3"/>
      <c r="J10" s="8" t="s">
        <v>84</v>
      </c>
      <c r="K10" s="8" t="s">
        <v>85</v>
      </c>
      <c r="L10" s="3"/>
      <c r="M10" s="3"/>
      <c r="N10" s="3"/>
      <c r="O10" s="3"/>
      <c r="P10" s="3"/>
      <c r="Q10" s="3"/>
      <c r="R10" s="3"/>
    </row>
    <row r="11" spans="1:19" ht="35.25" customHeight="1" x14ac:dyDescent="0.25">
      <c r="A11" s="3"/>
      <c r="B11" s="3"/>
      <c r="C11" s="3"/>
      <c r="D11" s="3"/>
      <c r="E11" s="3"/>
      <c r="F11" s="3"/>
      <c r="G11" s="3"/>
      <c r="H11" s="3"/>
      <c r="I11" s="3"/>
      <c r="J11" s="8" t="s">
        <v>86</v>
      </c>
      <c r="K11" s="8" t="s">
        <v>87</v>
      </c>
      <c r="L11" s="3"/>
      <c r="M11" s="3"/>
      <c r="N11" s="3"/>
      <c r="O11" s="3"/>
      <c r="P11" s="3"/>
      <c r="Q11" s="3"/>
      <c r="R11" s="3"/>
    </row>
    <row r="12" spans="1:19" ht="35.25" customHeight="1" x14ac:dyDescent="0.25">
      <c r="A12" s="3"/>
      <c r="B12" s="3"/>
      <c r="C12" s="3"/>
      <c r="D12" s="3"/>
      <c r="E12" s="3"/>
      <c r="F12" s="3"/>
      <c r="G12" s="3"/>
      <c r="H12" s="3"/>
      <c r="I12" s="3"/>
      <c r="J12" s="8" t="s">
        <v>88</v>
      </c>
      <c r="K12" s="8" t="s">
        <v>89</v>
      </c>
      <c r="L12" s="3"/>
      <c r="M12" s="3"/>
      <c r="N12" s="3"/>
      <c r="O12" s="3"/>
      <c r="P12" s="3"/>
      <c r="Q12" s="3"/>
      <c r="R12" s="3"/>
    </row>
    <row r="13" spans="1:19" ht="35.25" customHeight="1" x14ac:dyDescent="0.25">
      <c r="A13" s="3"/>
      <c r="B13" s="3"/>
      <c r="C13" s="3"/>
      <c r="D13" s="3"/>
      <c r="E13" s="3"/>
      <c r="F13" s="3"/>
      <c r="G13" s="3"/>
      <c r="H13" s="3"/>
      <c r="I13" s="3"/>
      <c r="J13" s="8" t="s">
        <v>90</v>
      </c>
      <c r="K13" s="8" t="s">
        <v>91</v>
      </c>
      <c r="L13" s="3"/>
      <c r="M13" s="3"/>
      <c r="N13" s="3"/>
      <c r="O13" s="3"/>
      <c r="P13" s="3"/>
      <c r="Q13" s="3"/>
      <c r="R13" s="3"/>
    </row>
    <row r="14" spans="1:19" ht="35.25" customHeight="1" x14ac:dyDescent="0.25">
      <c r="A14" s="3"/>
      <c r="B14" s="3"/>
      <c r="C14" s="3"/>
      <c r="D14" s="3"/>
      <c r="E14" s="3"/>
      <c r="F14" s="3"/>
      <c r="G14" s="3"/>
      <c r="H14" s="3"/>
      <c r="I14" s="3"/>
      <c r="J14" s="8" t="s">
        <v>92</v>
      </c>
      <c r="K14" s="8" t="s">
        <v>93</v>
      </c>
      <c r="L14" s="3"/>
      <c r="M14" s="3"/>
      <c r="N14" s="3"/>
      <c r="O14" s="3"/>
      <c r="P14" s="3"/>
      <c r="Q14" s="3"/>
      <c r="R14" s="3"/>
    </row>
    <row r="15" spans="1:19" ht="35.25" customHeight="1" x14ac:dyDescent="0.25">
      <c r="A15" s="3"/>
      <c r="B15" s="3"/>
      <c r="C15" s="3"/>
      <c r="D15" s="3"/>
      <c r="E15" s="3"/>
      <c r="F15" s="3"/>
      <c r="G15" s="3"/>
      <c r="H15" s="3"/>
      <c r="I15" s="3"/>
      <c r="J15" s="8" t="s">
        <v>94</v>
      </c>
      <c r="K15" s="8" t="s">
        <v>95</v>
      </c>
      <c r="L15" s="3"/>
      <c r="M15" s="3"/>
      <c r="N15" s="3"/>
      <c r="O15" s="3"/>
      <c r="P15" s="3"/>
      <c r="Q15" s="3"/>
      <c r="R15" s="3"/>
    </row>
    <row r="16" spans="1:19" ht="35.25" customHeight="1" x14ac:dyDescent="0.25">
      <c r="A16" s="3"/>
      <c r="B16" s="3"/>
      <c r="C16" s="3"/>
      <c r="D16" s="3"/>
      <c r="E16" s="3"/>
      <c r="F16" s="3"/>
      <c r="G16" s="3"/>
      <c r="H16" s="3"/>
      <c r="I16" s="3"/>
      <c r="J16" s="8" t="s">
        <v>96</v>
      </c>
      <c r="K16" s="8" t="s">
        <v>97</v>
      </c>
      <c r="L16" s="3"/>
      <c r="M16" s="3"/>
      <c r="N16" s="3"/>
      <c r="O16" s="3"/>
      <c r="P16" s="3"/>
      <c r="Q16" s="3"/>
      <c r="R16" s="3"/>
    </row>
    <row r="17" spans="1:18" ht="35.25" customHeight="1" x14ac:dyDescent="0.25">
      <c r="A17" s="3"/>
      <c r="B17" s="3"/>
      <c r="C17" s="3"/>
      <c r="D17" s="3"/>
      <c r="E17" s="3"/>
      <c r="F17" s="3"/>
      <c r="G17" s="3"/>
      <c r="H17" s="3"/>
      <c r="I17" s="3"/>
      <c r="J17" s="8" t="s">
        <v>98</v>
      </c>
      <c r="K17" s="8" t="s">
        <v>99</v>
      </c>
      <c r="L17" s="3"/>
      <c r="M17" s="3"/>
      <c r="N17" s="3"/>
      <c r="O17" s="3"/>
      <c r="P17" s="3"/>
      <c r="Q17" s="3"/>
      <c r="R17" s="3"/>
    </row>
    <row r="18" spans="1:18" ht="35.25" customHeight="1" x14ac:dyDescent="0.25">
      <c r="A18" s="3"/>
      <c r="B18" s="3"/>
      <c r="C18" s="3"/>
      <c r="D18" s="3"/>
      <c r="E18" s="3"/>
      <c r="F18" s="3"/>
      <c r="G18" s="3"/>
      <c r="H18" s="3"/>
      <c r="I18" s="3"/>
      <c r="J18" s="8" t="s">
        <v>100</v>
      </c>
      <c r="K18" s="8" t="s">
        <v>101</v>
      </c>
      <c r="L18" s="3"/>
      <c r="M18" s="3"/>
      <c r="N18" s="3"/>
      <c r="O18" s="3"/>
      <c r="P18" s="3"/>
      <c r="Q18" s="3"/>
      <c r="R18" s="3"/>
    </row>
    <row r="19" spans="1:18" ht="35.25" customHeight="1" x14ac:dyDescent="0.25">
      <c r="A19" s="3"/>
      <c r="B19" s="3"/>
      <c r="C19" s="3"/>
      <c r="D19" s="3"/>
      <c r="E19" s="3"/>
      <c r="F19" s="3"/>
      <c r="G19" s="3"/>
      <c r="H19" s="3"/>
      <c r="I19" s="3"/>
      <c r="J19" s="8" t="s">
        <v>102</v>
      </c>
      <c r="K19" s="8" t="s">
        <v>103</v>
      </c>
      <c r="L19" s="3"/>
      <c r="M19" s="3"/>
      <c r="N19" s="3"/>
      <c r="O19" s="3"/>
      <c r="P19" s="3"/>
      <c r="Q19" s="3"/>
      <c r="R19" s="3"/>
    </row>
    <row r="20" spans="1:18" ht="35.25" customHeight="1" x14ac:dyDescent="0.25">
      <c r="A20" s="3"/>
      <c r="B20" s="3"/>
      <c r="C20" s="3"/>
      <c r="D20" s="3"/>
      <c r="E20" s="3"/>
      <c r="F20" s="3"/>
      <c r="G20" s="3"/>
      <c r="H20" s="3"/>
      <c r="I20" s="3"/>
      <c r="J20" s="8" t="s">
        <v>104</v>
      </c>
      <c r="K20" s="8" t="s">
        <v>105</v>
      </c>
      <c r="L20" s="3"/>
      <c r="M20" s="3"/>
      <c r="N20" s="3"/>
      <c r="O20" s="3"/>
      <c r="P20" s="3"/>
      <c r="Q20" s="3"/>
      <c r="R20" s="3"/>
    </row>
    <row r="21" spans="1:18" ht="35.25" customHeight="1" x14ac:dyDescent="0.25">
      <c r="A21" s="3"/>
      <c r="B21" s="3"/>
      <c r="C21" s="3"/>
      <c r="D21" s="3"/>
      <c r="E21" s="3"/>
      <c r="F21" s="3"/>
      <c r="G21" s="3"/>
      <c r="H21" s="3"/>
      <c r="I21" s="3"/>
      <c r="J21" s="8" t="s">
        <v>106</v>
      </c>
      <c r="K21" s="8" t="s">
        <v>107</v>
      </c>
      <c r="L21" s="3"/>
      <c r="M21" s="3"/>
      <c r="N21" s="3"/>
      <c r="O21" s="3"/>
      <c r="P21" s="3"/>
      <c r="Q21" s="3"/>
      <c r="R21" s="3"/>
    </row>
    <row r="22" spans="1:18" ht="35.25" customHeight="1" x14ac:dyDescent="0.25">
      <c r="A22" s="3"/>
      <c r="B22" s="3"/>
      <c r="C22" s="3"/>
      <c r="D22" s="3"/>
      <c r="E22" s="3"/>
      <c r="F22" s="3"/>
      <c r="G22" s="3"/>
      <c r="H22" s="3"/>
      <c r="I22" s="3"/>
      <c r="J22" s="8" t="s">
        <v>108</v>
      </c>
      <c r="K22" s="8" t="s">
        <v>109</v>
      </c>
      <c r="L22" s="3"/>
      <c r="M22" s="3"/>
      <c r="N22" s="3"/>
      <c r="O22" s="3"/>
      <c r="P22" s="3"/>
      <c r="Q22" s="3"/>
      <c r="R22" s="3"/>
    </row>
    <row r="23" spans="1:18" ht="35.25" customHeight="1" x14ac:dyDescent="0.25">
      <c r="A23" s="3"/>
      <c r="B23" s="3"/>
      <c r="C23" s="3"/>
      <c r="D23" s="3"/>
      <c r="E23" s="3"/>
      <c r="F23" s="3"/>
      <c r="G23" s="3"/>
      <c r="H23" s="3"/>
      <c r="I23" s="3"/>
      <c r="J23" s="8" t="s">
        <v>110</v>
      </c>
      <c r="K23" s="8" t="s">
        <v>111</v>
      </c>
      <c r="L23" s="3"/>
      <c r="M23" s="3"/>
      <c r="N23" s="3"/>
      <c r="O23" s="3"/>
      <c r="P23" s="3"/>
      <c r="Q23" s="3"/>
      <c r="R23" s="3"/>
    </row>
    <row r="24" spans="1:18" ht="35.25" customHeight="1" x14ac:dyDescent="0.25">
      <c r="A24" s="3"/>
      <c r="B24" s="3"/>
      <c r="C24" s="3"/>
      <c r="D24" s="3"/>
      <c r="E24" s="3"/>
      <c r="F24" s="3"/>
      <c r="G24" s="3"/>
      <c r="H24" s="3"/>
      <c r="I24" s="3"/>
      <c r="J24" s="8" t="s">
        <v>112</v>
      </c>
      <c r="K24" s="8" t="s">
        <v>113</v>
      </c>
      <c r="L24" s="3"/>
      <c r="M24" s="3"/>
      <c r="N24" s="3"/>
      <c r="O24" s="3"/>
      <c r="P24" s="3"/>
      <c r="Q24" s="3"/>
      <c r="R24" s="3"/>
    </row>
    <row r="25" spans="1:18" ht="35.25" customHeight="1" x14ac:dyDescent="0.25">
      <c r="A25" s="3"/>
      <c r="B25" s="3"/>
      <c r="C25" s="3"/>
      <c r="D25" s="3"/>
      <c r="E25" s="3"/>
      <c r="F25" s="3"/>
      <c r="G25" s="3"/>
      <c r="H25" s="3"/>
      <c r="I25" s="3"/>
      <c r="J25" s="8" t="s">
        <v>114</v>
      </c>
      <c r="K25" s="8" t="s">
        <v>115</v>
      </c>
      <c r="L25" s="3"/>
      <c r="M25" s="3"/>
      <c r="N25" s="3"/>
      <c r="O25" s="3"/>
      <c r="P25" s="3"/>
      <c r="Q25" s="3"/>
      <c r="R25" s="3"/>
    </row>
    <row r="26" spans="1:18" ht="35.25" customHeight="1" x14ac:dyDescent="0.25">
      <c r="A26" s="3"/>
      <c r="B26" s="3"/>
      <c r="C26" s="3"/>
      <c r="D26" s="3"/>
      <c r="E26" s="3"/>
      <c r="F26" s="3"/>
      <c r="G26" s="3"/>
      <c r="H26" s="3"/>
      <c r="I26" s="3"/>
      <c r="J26" s="8" t="s">
        <v>116</v>
      </c>
      <c r="K26" s="8" t="s">
        <v>117</v>
      </c>
      <c r="L26" s="3"/>
      <c r="M26" s="3"/>
      <c r="N26" s="3"/>
      <c r="O26" s="3"/>
      <c r="P26" s="3"/>
      <c r="Q26" s="3"/>
      <c r="R26" s="3"/>
    </row>
    <row r="27" spans="1:18" ht="35.25" customHeight="1" x14ac:dyDescent="0.25">
      <c r="A27" s="3"/>
      <c r="B27" s="3"/>
      <c r="C27" s="3"/>
      <c r="D27" s="3"/>
      <c r="E27" s="3"/>
      <c r="F27" s="3"/>
      <c r="G27" s="3"/>
      <c r="H27" s="3"/>
      <c r="I27" s="3"/>
      <c r="J27" s="8" t="s">
        <v>118</v>
      </c>
      <c r="K27" s="8" t="s">
        <v>119</v>
      </c>
      <c r="L27" s="3"/>
      <c r="M27" s="3"/>
      <c r="N27" s="3"/>
      <c r="O27" s="3"/>
      <c r="P27" s="3"/>
      <c r="Q27" s="3"/>
      <c r="R27" s="3"/>
    </row>
    <row r="28" spans="1:18" ht="35.25" customHeight="1" x14ac:dyDescent="0.25">
      <c r="A28" s="3"/>
      <c r="B28" s="3"/>
      <c r="C28" s="3"/>
      <c r="D28" s="3"/>
      <c r="E28" s="3"/>
      <c r="F28" s="3"/>
      <c r="G28" s="3"/>
      <c r="H28" s="3"/>
      <c r="I28" s="3"/>
      <c r="J28" s="8" t="s">
        <v>120</v>
      </c>
      <c r="K28" s="8" t="s">
        <v>121</v>
      </c>
      <c r="L28" s="3"/>
      <c r="M28" s="3"/>
      <c r="N28" s="3"/>
      <c r="O28" s="3"/>
      <c r="P28" s="3"/>
      <c r="Q28" s="3"/>
      <c r="R28" s="3"/>
    </row>
    <row r="29" spans="1:18" ht="35.25" customHeight="1" x14ac:dyDescent="0.25">
      <c r="A29" s="3"/>
      <c r="B29" s="3"/>
      <c r="C29" s="3"/>
      <c r="D29" s="3"/>
      <c r="E29" s="3"/>
      <c r="F29" s="3"/>
      <c r="G29" s="3"/>
      <c r="H29" s="3"/>
      <c r="I29" s="3"/>
      <c r="J29" s="8" t="s">
        <v>122</v>
      </c>
      <c r="K29" s="8" t="s">
        <v>123</v>
      </c>
      <c r="L29" s="3"/>
      <c r="M29" s="3"/>
      <c r="N29" s="3"/>
      <c r="O29" s="3"/>
      <c r="P29" s="3"/>
      <c r="Q29" s="3"/>
      <c r="R29" s="3"/>
    </row>
    <row r="30" spans="1:18" ht="35.25" customHeight="1" x14ac:dyDescent="0.25">
      <c r="A30" s="3"/>
      <c r="B30" s="3"/>
      <c r="C30" s="3"/>
      <c r="D30" s="3"/>
      <c r="E30" s="3"/>
      <c r="F30" s="3"/>
      <c r="G30" s="3"/>
      <c r="H30" s="3"/>
      <c r="I30" s="3"/>
      <c r="J30" s="8" t="s">
        <v>124</v>
      </c>
      <c r="K30" s="8" t="s">
        <v>125</v>
      </c>
      <c r="L30" s="3"/>
      <c r="M30" s="3"/>
      <c r="N30" s="3"/>
      <c r="O30" s="3"/>
      <c r="P30" s="3"/>
      <c r="Q30" s="3"/>
      <c r="R30" s="3"/>
    </row>
    <row r="31" spans="1:18" ht="35.25" customHeight="1" x14ac:dyDescent="0.25">
      <c r="A31" s="3"/>
      <c r="B31" s="3"/>
      <c r="C31" s="3"/>
      <c r="D31" s="3"/>
      <c r="E31" s="3"/>
      <c r="F31" s="3"/>
      <c r="G31" s="3"/>
      <c r="H31" s="3"/>
      <c r="I31" s="3"/>
      <c r="J31" s="8" t="s">
        <v>126</v>
      </c>
      <c r="K31" s="8"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9" sqref="G9:AD9"/>
    </sheetView>
  </sheetViews>
  <sheetFormatPr defaultColWidth="2.85546875" defaultRowHeight="15" x14ac:dyDescent="0.25"/>
  <cols>
    <col min="1" max="32" width="3" style="1" customWidth="1"/>
    <col min="33" max="16384" width="2.85546875" style="1"/>
  </cols>
  <sheetData>
    <row r="1" spans="1:30" ht="30" customHeight="1" x14ac:dyDescent="0.25">
      <c r="A1" s="109" t="s">
        <v>216</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row>
    <row r="2" spans="1:30" ht="45" customHeight="1" x14ac:dyDescent="0.25">
      <c r="A2" s="115" t="s">
        <v>128</v>
      </c>
      <c r="B2" s="115"/>
      <c r="C2" s="115"/>
      <c r="D2" s="115"/>
      <c r="E2" s="115"/>
      <c r="F2" s="115"/>
      <c r="G2" s="95" t="s">
        <v>242</v>
      </c>
      <c r="H2" s="95"/>
      <c r="I2" s="95"/>
      <c r="J2" s="95"/>
      <c r="K2" s="95"/>
      <c r="L2" s="95"/>
      <c r="M2" s="95"/>
      <c r="N2" s="95"/>
      <c r="O2" s="95"/>
      <c r="P2" s="95"/>
      <c r="Q2" s="95"/>
      <c r="R2" s="95"/>
      <c r="S2" s="95"/>
      <c r="T2" s="95"/>
      <c r="U2" s="95"/>
      <c r="V2" s="95"/>
      <c r="W2" s="95"/>
      <c r="X2" s="95"/>
      <c r="Y2" s="95"/>
      <c r="Z2" s="95"/>
      <c r="AA2" s="95"/>
      <c r="AB2" s="95"/>
      <c r="AC2" s="95"/>
      <c r="AD2" s="95"/>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112" t="s">
        <v>129</v>
      </c>
      <c r="B4" s="112"/>
      <c r="C4" s="112"/>
      <c r="D4" s="112"/>
      <c r="E4" s="112"/>
      <c r="F4" s="112"/>
      <c r="G4" s="121" t="s">
        <v>208</v>
      </c>
      <c r="H4" s="121"/>
      <c r="I4" s="121"/>
      <c r="J4" s="121"/>
      <c r="K4" s="121"/>
      <c r="L4" s="121"/>
      <c r="M4" s="121"/>
      <c r="N4" s="121"/>
      <c r="O4" s="121"/>
      <c r="P4" s="121"/>
      <c r="Q4" s="121"/>
      <c r="R4" s="121"/>
      <c r="S4" s="121"/>
      <c r="T4" s="121"/>
      <c r="U4" s="121"/>
      <c r="V4" s="121"/>
      <c r="W4" s="121"/>
      <c r="X4" s="121"/>
      <c r="Y4" s="121"/>
      <c r="Z4" s="121"/>
      <c r="AA4" s="121"/>
      <c r="AB4" s="121"/>
      <c r="AC4" s="121"/>
      <c r="AD4" s="121"/>
    </row>
    <row r="5" spans="1:30" x14ac:dyDescent="0.25">
      <c r="A5" s="83" t="s">
        <v>130</v>
      </c>
      <c r="B5" s="83"/>
      <c r="C5" s="83"/>
      <c r="D5" s="83"/>
      <c r="E5" s="83"/>
      <c r="F5" s="83"/>
      <c r="G5" s="118" t="s">
        <v>131</v>
      </c>
      <c r="H5" s="118"/>
      <c r="I5" s="118"/>
      <c r="J5" s="118"/>
      <c r="K5" s="118"/>
      <c r="L5" s="118"/>
      <c r="M5" s="118"/>
      <c r="N5" s="118"/>
      <c r="O5" s="118"/>
      <c r="P5" s="118"/>
      <c r="Q5" s="118"/>
      <c r="R5" s="118"/>
      <c r="S5" s="118"/>
      <c r="T5" s="118"/>
      <c r="U5" s="118"/>
      <c r="V5" s="118"/>
      <c r="W5" s="118"/>
      <c r="X5" s="118"/>
      <c r="Y5" s="118"/>
      <c r="Z5" s="118"/>
      <c r="AA5" s="118"/>
      <c r="AB5" s="118"/>
      <c r="AC5" s="118"/>
      <c r="AD5" s="118"/>
    </row>
    <row r="6" spans="1:30" x14ac:dyDescent="0.25">
      <c r="A6" s="83" t="s">
        <v>132</v>
      </c>
      <c r="B6" s="83"/>
      <c r="C6" s="83"/>
      <c r="D6" s="83"/>
      <c r="E6" s="83"/>
      <c r="F6" s="83"/>
      <c r="G6" s="119" t="s">
        <v>217</v>
      </c>
      <c r="H6" s="120"/>
      <c r="I6" s="120"/>
      <c r="J6" s="120"/>
      <c r="K6" s="120"/>
      <c r="L6" s="120"/>
      <c r="M6" s="120"/>
      <c r="N6" s="120"/>
      <c r="O6" s="120"/>
      <c r="P6" s="120"/>
      <c r="Q6" s="120"/>
      <c r="R6" s="120"/>
      <c r="S6" s="120"/>
      <c r="T6" s="120"/>
      <c r="U6" s="120"/>
      <c r="V6" s="120"/>
      <c r="W6" s="120"/>
      <c r="X6" s="120"/>
      <c r="Y6" s="120"/>
      <c r="Z6" s="120"/>
      <c r="AA6" s="120"/>
      <c r="AB6" s="120"/>
      <c r="AC6" s="120"/>
      <c r="AD6" s="120"/>
    </row>
    <row r="7" spans="1:30" x14ac:dyDescent="0.25">
      <c r="A7" s="113" t="s">
        <v>133</v>
      </c>
      <c r="B7" s="113"/>
      <c r="C7" s="113"/>
      <c r="D7" s="113"/>
      <c r="E7" s="113"/>
      <c r="F7" s="113"/>
      <c r="G7" s="117" t="s">
        <v>134</v>
      </c>
      <c r="H7" s="117"/>
      <c r="I7" s="117"/>
      <c r="J7" s="117"/>
      <c r="K7" s="117"/>
      <c r="L7" s="117"/>
      <c r="M7" s="117"/>
      <c r="N7" s="117"/>
      <c r="O7" s="117"/>
      <c r="P7" s="117"/>
      <c r="Q7" s="117"/>
      <c r="R7" s="117"/>
      <c r="S7" s="117"/>
      <c r="T7" s="117"/>
      <c r="U7" s="117"/>
      <c r="V7" s="117"/>
      <c r="W7" s="117"/>
      <c r="X7" s="117"/>
      <c r="Y7" s="117"/>
      <c r="Z7" s="117"/>
      <c r="AA7" s="117"/>
      <c r="AB7" s="117"/>
      <c r="AC7" s="117"/>
      <c r="AD7" s="117"/>
    </row>
    <row r="8" spans="1:30" x14ac:dyDescent="0.25">
      <c r="A8" s="113" t="s">
        <v>135</v>
      </c>
      <c r="B8" s="113"/>
      <c r="C8" s="113"/>
      <c r="D8" s="113"/>
      <c r="E8" s="113"/>
      <c r="F8" s="113"/>
      <c r="G8" s="123" t="s">
        <v>209</v>
      </c>
      <c r="H8" s="123"/>
      <c r="I8" s="123"/>
      <c r="J8" s="123"/>
      <c r="K8" s="123"/>
      <c r="L8" s="123"/>
      <c r="M8" s="123"/>
      <c r="N8" s="123"/>
      <c r="O8" s="123"/>
      <c r="P8" s="123"/>
      <c r="Q8" s="123"/>
      <c r="R8" s="123"/>
      <c r="S8" s="123"/>
      <c r="T8" s="123"/>
      <c r="U8" s="123"/>
      <c r="V8" s="123"/>
      <c r="W8" s="123"/>
      <c r="X8" s="123"/>
      <c r="Y8" s="123"/>
      <c r="Z8" s="123"/>
      <c r="AA8" s="123"/>
      <c r="AB8" s="123"/>
      <c r="AC8" s="123"/>
      <c r="AD8" s="123"/>
    </row>
    <row r="9" spans="1:30" x14ac:dyDescent="0.25">
      <c r="A9" s="83" t="s">
        <v>136</v>
      </c>
      <c r="B9" s="83"/>
      <c r="C9" s="83"/>
      <c r="D9" s="83"/>
      <c r="E9" s="83"/>
      <c r="F9" s="83"/>
      <c r="G9" s="116" t="s">
        <v>243</v>
      </c>
      <c r="H9" s="117"/>
      <c r="I9" s="117"/>
      <c r="J9" s="117"/>
      <c r="K9" s="117"/>
      <c r="L9" s="117"/>
      <c r="M9" s="117"/>
      <c r="N9" s="117"/>
      <c r="O9" s="117"/>
      <c r="P9" s="117"/>
      <c r="Q9" s="117"/>
      <c r="R9" s="117"/>
      <c r="S9" s="117"/>
      <c r="T9" s="117"/>
      <c r="U9" s="117"/>
      <c r="V9" s="117"/>
      <c r="W9" s="117"/>
      <c r="X9" s="117"/>
      <c r="Y9" s="117"/>
      <c r="Z9" s="117"/>
      <c r="AA9" s="117"/>
      <c r="AB9" s="117"/>
      <c r="AC9" s="117"/>
      <c r="AD9" s="117"/>
    </row>
    <row r="10" spans="1:30" x14ac:dyDescent="0.25">
      <c r="A10" s="110" t="s">
        <v>137</v>
      </c>
      <c r="B10" s="113" t="s">
        <v>138</v>
      </c>
      <c r="C10" s="113"/>
      <c r="D10" s="113"/>
      <c r="E10" s="113"/>
      <c r="F10" s="113"/>
      <c r="G10" s="122" t="s">
        <v>206</v>
      </c>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row>
    <row r="11" spans="1:30" x14ac:dyDescent="0.25">
      <c r="A11" s="110"/>
      <c r="B11" s="113" t="s">
        <v>139</v>
      </c>
      <c r="C11" s="113"/>
      <c r="D11" s="113"/>
      <c r="E11" s="113"/>
      <c r="F11" s="113"/>
      <c r="G11" s="116" t="s">
        <v>207</v>
      </c>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row>
    <row r="12" spans="1:30" x14ac:dyDescent="0.25">
      <c r="A12" s="110"/>
      <c r="B12" s="113" t="s">
        <v>140</v>
      </c>
      <c r="C12" s="113"/>
      <c r="D12" s="113"/>
      <c r="E12" s="113"/>
      <c r="F12" s="113"/>
      <c r="G12" s="123" t="s">
        <v>141</v>
      </c>
      <c r="H12" s="123"/>
      <c r="I12" s="123"/>
      <c r="J12" s="123"/>
      <c r="K12" s="123"/>
      <c r="L12" s="123"/>
      <c r="M12" s="123"/>
      <c r="N12" s="123"/>
      <c r="O12" s="123"/>
      <c r="P12" s="123"/>
      <c r="Q12" s="123"/>
      <c r="R12" s="123"/>
      <c r="S12" s="123"/>
      <c r="T12" s="123"/>
      <c r="U12" s="123"/>
      <c r="V12" s="123"/>
      <c r="W12" s="123"/>
      <c r="X12" s="123"/>
      <c r="Y12" s="123"/>
      <c r="Z12" s="123"/>
      <c r="AA12" s="123"/>
      <c r="AB12" s="123"/>
      <c r="AC12" s="123"/>
      <c r="AD12" s="123"/>
    </row>
    <row r="13" spans="1:30" x14ac:dyDescent="0.25">
      <c r="A13" s="111"/>
      <c r="B13" s="114" t="s">
        <v>142</v>
      </c>
      <c r="C13" s="114"/>
      <c r="D13" s="114"/>
      <c r="E13" s="114"/>
      <c r="F13" s="114"/>
      <c r="G13" s="124" t="s">
        <v>143</v>
      </c>
      <c r="H13" s="124"/>
      <c r="I13" s="124"/>
      <c r="J13" s="124"/>
      <c r="K13" s="124"/>
      <c r="L13" s="124"/>
      <c r="M13" s="124"/>
      <c r="N13" s="124"/>
      <c r="O13" s="124"/>
      <c r="P13" s="124"/>
      <c r="Q13" s="124"/>
      <c r="R13" s="124"/>
      <c r="S13" s="124"/>
      <c r="T13" s="124"/>
      <c r="U13" s="124"/>
      <c r="V13" s="124"/>
      <c r="W13" s="124"/>
      <c r="X13" s="124"/>
      <c r="Y13" s="124"/>
      <c r="Z13" s="124"/>
      <c r="AA13" s="124"/>
      <c r="AB13" s="124"/>
      <c r="AC13" s="124"/>
      <c r="AD13" s="124"/>
    </row>
    <row r="15" spans="1:30" ht="154.5" customHeight="1" x14ac:dyDescent="0.25">
      <c r="A15" s="79" t="s">
        <v>144</v>
      </c>
      <c r="B15" s="80"/>
      <c r="C15" s="80"/>
      <c r="D15" s="80"/>
      <c r="E15" s="80"/>
      <c r="F15" s="81"/>
      <c r="G15" s="76" t="s">
        <v>234</v>
      </c>
      <c r="H15" s="77"/>
      <c r="I15" s="77"/>
      <c r="J15" s="77"/>
      <c r="K15" s="77"/>
      <c r="L15" s="77"/>
      <c r="M15" s="77"/>
      <c r="N15" s="77"/>
      <c r="O15" s="77"/>
      <c r="P15" s="77"/>
      <c r="Q15" s="77"/>
      <c r="R15" s="77"/>
      <c r="S15" s="77"/>
      <c r="T15" s="77"/>
      <c r="U15" s="77"/>
      <c r="V15" s="77"/>
      <c r="W15" s="77"/>
      <c r="X15" s="77"/>
      <c r="Y15" s="77"/>
      <c r="Z15" s="77"/>
      <c r="AA15" s="77"/>
      <c r="AB15" s="77"/>
      <c r="AC15" s="77"/>
      <c r="AD15" s="78"/>
    </row>
    <row r="17" spans="1:30" ht="15" customHeight="1" x14ac:dyDescent="0.25">
      <c r="A17" s="104" t="s">
        <v>145</v>
      </c>
      <c r="B17" s="104"/>
      <c r="C17" s="104"/>
      <c r="D17" s="104"/>
      <c r="E17" s="104"/>
      <c r="F17" s="104"/>
      <c r="G17" s="93" t="s">
        <v>210</v>
      </c>
      <c r="H17" s="93"/>
      <c r="I17" s="93"/>
      <c r="J17" s="93"/>
      <c r="K17" s="93"/>
      <c r="L17" s="93"/>
      <c r="M17" s="93"/>
      <c r="N17" s="93"/>
      <c r="O17" s="93"/>
      <c r="P17" s="93"/>
      <c r="Q17" s="93"/>
      <c r="R17" s="93"/>
      <c r="S17" s="93"/>
      <c r="T17" s="93"/>
      <c r="U17" s="93"/>
      <c r="V17" s="93"/>
      <c r="W17" s="93"/>
      <c r="X17" s="93"/>
      <c r="Y17" s="93"/>
      <c r="Z17" s="93"/>
      <c r="AA17" s="93"/>
      <c r="AB17" s="93"/>
      <c r="AC17" s="93"/>
      <c r="AD17" s="93"/>
    </row>
    <row r="18" spans="1:30" ht="37.5" customHeight="1" x14ac:dyDescent="0.25">
      <c r="A18" s="82" t="s">
        <v>146</v>
      </c>
      <c r="B18" s="82"/>
      <c r="C18" s="82"/>
      <c r="D18" s="82"/>
      <c r="E18" s="82"/>
      <c r="F18" s="82"/>
      <c r="G18" s="97" t="s">
        <v>218</v>
      </c>
      <c r="H18" s="98"/>
      <c r="I18" s="98"/>
      <c r="J18" s="98"/>
      <c r="K18" s="98"/>
      <c r="L18" s="98"/>
      <c r="M18" s="98"/>
      <c r="N18" s="98"/>
      <c r="O18" s="98"/>
      <c r="P18" s="98"/>
      <c r="Q18" s="98"/>
      <c r="R18" s="98"/>
      <c r="S18" s="98"/>
      <c r="T18" s="98"/>
      <c r="U18" s="98"/>
      <c r="V18" s="98"/>
      <c r="W18" s="98"/>
      <c r="X18" s="98"/>
      <c r="Y18" s="98"/>
      <c r="Z18" s="98"/>
      <c r="AA18" s="98"/>
      <c r="AB18" s="98"/>
      <c r="AC18" s="98"/>
      <c r="AD18" s="98"/>
    </row>
    <row r="19" spans="1:30" ht="15" customHeight="1" x14ac:dyDescent="0.25">
      <c r="A19" s="83" t="s">
        <v>147</v>
      </c>
      <c r="B19" s="83"/>
      <c r="C19" s="83"/>
      <c r="D19" s="83"/>
      <c r="E19" s="83"/>
      <c r="F19" s="83"/>
      <c r="G19" s="99" t="s">
        <v>148</v>
      </c>
      <c r="H19" s="99"/>
      <c r="I19" s="99"/>
      <c r="J19" s="99"/>
      <c r="K19" s="99"/>
      <c r="L19" s="99"/>
      <c r="M19" s="99"/>
      <c r="N19" s="99"/>
      <c r="O19" s="99"/>
      <c r="P19" s="99"/>
      <c r="Q19" s="99"/>
      <c r="R19" s="99"/>
      <c r="S19" s="99"/>
      <c r="T19" s="99"/>
      <c r="U19" s="99"/>
      <c r="V19" s="99"/>
      <c r="W19" s="99"/>
      <c r="X19" s="99"/>
      <c r="Y19" s="99"/>
      <c r="Z19" s="99"/>
      <c r="AA19" s="99"/>
      <c r="AB19" s="99"/>
      <c r="AC19" s="99"/>
      <c r="AD19" s="99"/>
    </row>
    <row r="20" spans="1:30" ht="15" customHeight="1" x14ac:dyDescent="0.25">
      <c r="A20" s="83" t="s">
        <v>149</v>
      </c>
      <c r="B20" s="83"/>
      <c r="C20" s="83"/>
      <c r="D20" s="83"/>
      <c r="E20" s="83"/>
      <c r="F20" s="83"/>
      <c r="G20" s="98" t="s">
        <v>150</v>
      </c>
      <c r="H20" s="98"/>
      <c r="I20" s="98"/>
      <c r="J20" s="98"/>
      <c r="K20" s="98"/>
      <c r="L20" s="98"/>
      <c r="M20" s="98"/>
      <c r="N20" s="98"/>
      <c r="O20" s="98"/>
      <c r="P20" s="98"/>
      <c r="Q20" s="98"/>
      <c r="R20" s="98"/>
      <c r="S20" s="98"/>
      <c r="T20" s="98"/>
      <c r="U20" s="98"/>
      <c r="V20" s="98"/>
      <c r="W20" s="98"/>
      <c r="X20" s="98"/>
      <c r="Y20" s="98"/>
      <c r="Z20" s="98"/>
      <c r="AA20" s="98"/>
      <c r="AB20" s="98"/>
      <c r="AC20" s="98"/>
      <c r="AD20" s="98"/>
    </row>
    <row r="21" spans="1:30" ht="15" customHeight="1" x14ac:dyDescent="0.25">
      <c r="A21" s="83" t="s">
        <v>151</v>
      </c>
      <c r="B21" s="83"/>
      <c r="C21" s="83"/>
      <c r="D21" s="83"/>
      <c r="E21" s="83"/>
      <c r="F21" s="83"/>
      <c r="G21" s="100" t="s">
        <v>230</v>
      </c>
      <c r="H21" s="99"/>
      <c r="I21" s="99"/>
      <c r="J21" s="99"/>
      <c r="K21" s="99"/>
      <c r="L21" s="99"/>
      <c r="M21" s="99"/>
      <c r="N21" s="99"/>
      <c r="O21" s="99"/>
      <c r="P21" s="99"/>
      <c r="Q21" s="99"/>
      <c r="R21" s="99"/>
      <c r="S21" s="99"/>
      <c r="T21" s="99"/>
      <c r="U21" s="99"/>
      <c r="V21" s="99"/>
      <c r="W21" s="99"/>
      <c r="X21" s="99"/>
      <c r="Y21" s="99"/>
      <c r="Z21" s="99"/>
      <c r="AA21" s="99"/>
      <c r="AB21" s="99"/>
      <c r="AC21" s="99"/>
      <c r="AD21" s="99"/>
    </row>
    <row r="22" spans="1:30" ht="15" customHeight="1" x14ac:dyDescent="0.25">
      <c r="A22" s="84" t="s">
        <v>152</v>
      </c>
      <c r="B22" s="86" t="s">
        <v>153</v>
      </c>
      <c r="C22" s="86"/>
      <c r="D22" s="86"/>
      <c r="E22" s="86"/>
      <c r="F22" s="87"/>
      <c r="G22" s="106" t="str">
        <f>IF(COUNTIF($Z$36:$Z$40,"Create")&gt;0,"Create",IF(COUNTIF($Z$36:$Z$40,"Evaluate")&gt;0,"Evaluate",IF(COUNTIF($Z$36:$Z$40,"Analyze")&gt;0,"Analyze",IF(COUNTIF($Z$36:$Z$40,"Apply")&gt;0,"Apply",IF(COUNTIF($Z$36:$Z$40,"Understand")&gt;0,"Understand",IF(COUNTIF($Z$36:$Z$40,"Remember")&gt;0,"Remember",""))))))</f>
        <v>Analyze</v>
      </c>
      <c r="H22" s="107"/>
      <c r="I22" s="107"/>
      <c r="J22" s="107"/>
      <c r="K22" s="107"/>
      <c r="L22" s="107"/>
      <c r="M22" s="107"/>
      <c r="N22" s="107"/>
      <c r="O22" s="107"/>
      <c r="P22" s="107"/>
      <c r="Q22" s="107"/>
      <c r="R22" s="107"/>
      <c r="S22" s="107"/>
      <c r="T22" s="107"/>
      <c r="U22" s="107"/>
      <c r="V22" s="107"/>
      <c r="W22" s="107"/>
      <c r="X22" s="107"/>
      <c r="Y22" s="107"/>
      <c r="Z22" s="107"/>
      <c r="AA22" s="107"/>
      <c r="AB22" s="107"/>
      <c r="AC22" s="107"/>
      <c r="AD22" s="108"/>
    </row>
    <row r="23" spans="1:30" ht="78" customHeight="1" x14ac:dyDescent="0.25">
      <c r="A23" s="85"/>
      <c r="B23" s="88" t="s">
        <v>154</v>
      </c>
      <c r="C23" s="88"/>
      <c r="D23" s="88"/>
      <c r="E23" s="88"/>
      <c r="F23" s="89"/>
      <c r="G23" s="101" t="s">
        <v>237</v>
      </c>
      <c r="H23" s="102"/>
      <c r="I23" s="102"/>
      <c r="J23" s="102"/>
      <c r="K23" s="102"/>
      <c r="L23" s="102"/>
      <c r="M23" s="102"/>
      <c r="N23" s="102"/>
      <c r="O23" s="102"/>
      <c r="P23" s="102"/>
      <c r="Q23" s="102"/>
      <c r="R23" s="102"/>
      <c r="S23" s="102"/>
      <c r="T23" s="102"/>
      <c r="U23" s="102"/>
      <c r="V23" s="102"/>
      <c r="W23" s="102"/>
      <c r="X23" s="102"/>
      <c r="Y23" s="102"/>
      <c r="Z23" s="102"/>
      <c r="AA23" s="102"/>
      <c r="AB23" s="102"/>
      <c r="AC23" s="102"/>
      <c r="AD23" s="103"/>
    </row>
    <row r="25" spans="1:30" ht="95.25" customHeight="1" x14ac:dyDescent="0.25">
      <c r="A25" s="94" t="s">
        <v>155</v>
      </c>
      <c r="B25" s="94"/>
      <c r="C25" s="94"/>
      <c r="D25" s="94"/>
      <c r="E25" s="94"/>
      <c r="F25" s="94"/>
      <c r="G25" s="95" t="s">
        <v>219</v>
      </c>
      <c r="H25" s="96"/>
      <c r="I25" s="96"/>
      <c r="J25" s="96"/>
      <c r="K25" s="96"/>
      <c r="L25" s="96"/>
      <c r="M25" s="96"/>
      <c r="N25" s="96"/>
      <c r="O25" s="96"/>
      <c r="P25" s="96"/>
      <c r="Q25" s="96"/>
      <c r="R25" s="96"/>
      <c r="S25" s="96"/>
      <c r="T25" s="96"/>
      <c r="U25" s="96"/>
      <c r="V25" s="96"/>
      <c r="W25" s="96"/>
      <c r="X25" s="96"/>
      <c r="Y25" s="96"/>
      <c r="Z25" s="96"/>
      <c r="AA25" s="96"/>
      <c r="AB25" s="96"/>
      <c r="AC25" s="96"/>
      <c r="AD25" s="96"/>
    </row>
    <row r="27" spans="1:30" x14ac:dyDescent="0.25">
      <c r="A27" s="35" t="s">
        <v>156</v>
      </c>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7"/>
    </row>
    <row r="28" spans="1:30" ht="45" customHeight="1" x14ac:dyDescent="0.25">
      <c r="A28" s="23" t="s">
        <v>20</v>
      </c>
      <c r="B28" s="90"/>
      <c r="C28" s="90"/>
      <c r="D28" s="90"/>
      <c r="E28" s="90"/>
      <c r="F28" s="90"/>
      <c r="G28" s="33" t="s">
        <v>235</v>
      </c>
      <c r="H28" s="91"/>
      <c r="I28" s="91"/>
      <c r="J28" s="91"/>
      <c r="K28" s="91"/>
      <c r="L28" s="91"/>
      <c r="M28" s="91"/>
      <c r="N28" s="91"/>
      <c r="O28" s="91"/>
      <c r="P28" s="91"/>
      <c r="Q28" s="91"/>
      <c r="R28" s="91"/>
      <c r="S28" s="91"/>
      <c r="T28" s="91"/>
      <c r="U28" s="91"/>
      <c r="V28" s="91"/>
      <c r="W28" s="91"/>
      <c r="X28" s="91"/>
      <c r="Y28" s="91"/>
      <c r="Z28" s="91"/>
      <c r="AA28" s="91"/>
      <c r="AB28" s="91"/>
      <c r="AC28" s="91"/>
      <c r="AD28" s="92"/>
    </row>
    <row r="29" spans="1:30" ht="33.75" customHeight="1" x14ac:dyDescent="0.25">
      <c r="A29" s="26" t="s">
        <v>31</v>
      </c>
      <c r="B29" s="27"/>
      <c r="C29" s="27"/>
      <c r="D29" s="27"/>
      <c r="E29" s="27"/>
      <c r="F29" s="27"/>
      <c r="G29" s="48" t="s">
        <v>236</v>
      </c>
      <c r="H29" s="15"/>
      <c r="I29" s="15"/>
      <c r="J29" s="15"/>
      <c r="K29" s="15"/>
      <c r="L29" s="15"/>
      <c r="M29" s="15"/>
      <c r="N29" s="15"/>
      <c r="O29" s="15"/>
      <c r="P29" s="15"/>
      <c r="Q29" s="15"/>
      <c r="R29" s="15"/>
      <c r="S29" s="15"/>
      <c r="T29" s="15"/>
      <c r="U29" s="15"/>
      <c r="V29" s="15"/>
      <c r="W29" s="15"/>
      <c r="X29" s="15"/>
      <c r="Y29" s="15"/>
      <c r="Z29" s="15"/>
      <c r="AA29" s="15"/>
      <c r="AB29" s="15"/>
      <c r="AC29" s="15"/>
      <c r="AD29" s="16"/>
    </row>
    <row r="30" spans="1:30" ht="18.75" customHeight="1" x14ac:dyDescent="0.25">
      <c r="A30" s="26" t="s">
        <v>42</v>
      </c>
      <c r="B30" s="27"/>
      <c r="C30" s="27"/>
      <c r="D30" s="27"/>
      <c r="E30" s="27"/>
      <c r="F30" s="27"/>
      <c r="G30" s="50"/>
      <c r="H30" s="18"/>
      <c r="I30" s="18"/>
      <c r="J30" s="18"/>
      <c r="K30" s="18"/>
      <c r="L30" s="18"/>
      <c r="M30" s="18"/>
      <c r="N30" s="18"/>
      <c r="O30" s="18"/>
      <c r="P30" s="18"/>
      <c r="Q30" s="18"/>
      <c r="R30" s="18"/>
      <c r="S30" s="18"/>
      <c r="T30" s="18"/>
      <c r="U30" s="18"/>
      <c r="V30" s="18"/>
      <c r="W30" s="18"/>
      <c r="X30" s="18"/>
      <c r="Y30" s="18"/>
      <c r="Z30" s="18"/>
      <c r="AA30" s="18"/>
      <c r="AB30" s="18"/>
      <c r="AC30" s="18"/>
      <c r="AD30" s="19"/>
    </row>
    <row r="31" spans="1:30" ht="18.75" customHeight="1" x14ac:dyDescent="0.25">
      <c r="A31" s="26" t="s">
        <v>53</v>
      </c>
      <c r="B31" s="27"/>
      <c r="C31" s="27"/>
      <c r="D31" s="27"/>
      <c r="E31" s="27"/>
      <c r="F31" s="27"/>
      <c r="G31" s="48"/>
      <c r="H31" s="15"/>
      <c r="I31" s="15"/>
      <c r="J31" s="15"/>
      <c r="K31" s="15"/>
      <c r="L31" s="15"/>
      <c r="M31" s="15"/>
      <c r="N31" s="15"/>
      <c r="O31" s="15"/>
      <c r="P31" s="15"/>
      <c r="Q31" s="15"/>
      <c r="R31" s="15"/>
      <c r="S31" s="15"/>
      <c r="T31" s="15"/>
      <c r="U31" s="15"/>
      <c r="V31" s="15"/>
      <c r="W31" s="15"/>
      <c r="X31" s="15"/>
      <c r="Y31" s="15"/>
      <c r="Z31" s="15"/>
      <c r="AA31" s="15"/>
      <c r="AB31" s="15"/>
      <c r="AC31" s="15"/>
      <c r="AD31" s="16"/>
    </row>
    <row r="32" spans="1:30" ht="18.75" customHeight="1" x14ac:dyDescent="0.25">
      <c r="A32" s="29" t="s">
        <v>64</v>
      </c>
      <c r="B32" s="30"/>
      <c r="C32" s="30"/>
      <c r="D32" s="30"/>
      <c r="E32" s="30"/>
      <c r="F32" s="30"/>
      <c r="G32" s="105"/>
      <c r="H32" s="21"/>
      <c r="I32" s="21"/>
      <c r="J32" s="21"/>
      <c r="K32" s="21"/>
      <c r="L32" s="21"/>
      <c r="M32" s="21"/>
      <c r="N32" s="21"/>
      <c r="O32" s="21"/>
      <c r="P32" s="21"/>
      <c r="Q32" s="21"/>
      <c r="R32" s="21"/>
      <c r="S32" s="21"/>
      <c r="T32" s="21"/>
      <c r="U32" s="21"/>
      <c r="V32" s="21"/>
      <c r="W32" s="21"/>
      <c r="X32" s="21"/>
      <c r="Y32" s="21"/>
      <c r="Z32" s="21"/>
      <c r="AA32" s="21"/>
      <c r="AB32" s="21"/>
      <c r="AC32" s="21"/>
      <c r="AD32" s="22"/>
    </row>
    <row r="34" spans="1:30" x14ac:dyDescent="0.25">
      <c r="A34" s="35" t="s">
        <v>157</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7"/>
    </row>
    <row r="35" spans="1:30" x14ac:dyDescent="0.25">
      <c r="A35" s="75" t="s">
        <v>158</v>
      </c>
      <c r="B35" s="71"/>
      <c r="C35" s="71"/>
      <c r="D35" s="71" t="s">
        <v>159</v>
      </c>
      <c r="E35" s="71"/>
      <c r="F35" s="71"/>
      <c r="G35" s="71"/>
      <c r="H35" s="71" t="s">
        <v>160</v>
      </c>
      <c r="I35" s="71"/>
      <c r="J35" s="71"/>
      <c r="K35" s="71"/>
      <c r="L35" s="71"/>
      <c r="M35" s="71"/>
      <c r="N35" s="71" t="s">
        <v>161</v>
      </c>
      <c r="O35" s="71"/>
      <c r="P35" s="71"/>
      <c r="Q35" s="71"/>
      <c r="R35" s="71"/>
      <c r="S35" s="71"/>
      <c r="T35" s="71" t="s">
        <v>162</v>
      </c>
      <c r="U35" s="71"/>
      <c r="V35" s="71"/>
      <c r="W35" s="71"/>
      <c r="X35" s="71"/>
      <c r="Y35" s="71"/>
      <c r="Z35" s="71" t="s">
        <v>163</v>
      </c>
      <c r="AA35" s="71"/>
      <c r="AB35" s="71"/>
      <c r="AC35" s="71"/>
      <c r="AD35" s="72"/>
    </row>
    <row r="36" spans="1:30" x14ac:dyDescent="0.25">
      <c r="A36" s="73" t="s">
        <v>23</v>
      </c>
      <c r="B36" s="68"/>
      <c r="C36" s="68"/>
      <c r="D36" s="68" t="s">
        <v>20</v>
      </c>
      <c r="E36" s="68"/>
      <c r="F36" s="68"/>
      <c r="G36" s="68"/>
      <c r="H36" s="74" t="s">
        <v>70</v>
      </c>
      <c r="I36" s="68"/>
      <c r="J36" s="68"/>
      <c r="K36" s="68"/>
      <c r="L36" s="68"/>
      <c r="M36" s="68"/>
      <c r="N36" s="68" t="s">
        <v>26</v>
      </c>
      <c r="O36" s="68"/>
      <c r="P36" s="68"/>
      <c r="Q36" s="68"/>
      <c r="R36" s="68"/>
      <c r="S36" s="68"/>
      <c r="T36" s="68" t="s">
        <v>92</v>
      </c>
      <c r="U36" s="68"/>
      <c r="V36" s="68"/>
      <c r="W36" s="68"/>
      <c r="X36" s="68"/>
      <c r="Y36" s="68"/>
      <c r="Z36" s="68" t="s">
        <v>46</v>
      </c>
      <c r="AA36" s="69"/>
      <c r="AB36" s="69"/>
      <c r="AC36" s="69"/>
      <c r="AD36" s="70"/>
    </row>
    <row r="37" spans="1:30" x14ac:dyDescent="0.25">
      <c r="A37" s="58" t="s">
        <v>34</v>
      </c>
      <c r="B37" s="59"/>
      <c r="C37" s="59"/>
      <c r="D37" s="59" t="s">
        <v>31</v>
      </c>
      <c r="E37" s="59"/>
      <c r="F37" s="59"/>
      <c r="G37" s="59"/>
      <c r="H37" s="59" t="s">
        <v>70</v>
      </c>
      <c r="I37" s="59"/>
      <c r="J37" s="59"/>
      <c r="K37" s="59"/>
      <c r="L37" s="59"/>
      <c r="M37" s="59"/>
      <c r="N37" s="59" t="s">
        <v>26</v>
      </c>
      <c r="O37" s="59"/>
      <c r="P37" s="59"/>
      <c r="Q37" s="59"/>
      <c r="R37" s="59"/>
      <c r="S37" s="59"/>
      <c r="T37" s="66" t="s">
        <v>92</v>
      </c>
      <c r="U37" s="59"/>
      <c r="V37" s="59"/>
      <c r="W37" s="59"/>
      <c r="X37" s="59"/>
      <c r="Y37" s="59"/>
      <c r="Z37" s="59" t="s">
        <v>46</v>
      </c>
      <c r="AA37" s="60"/>
      <c r="AB37" s="60"/>
      <c r="AC37" s="60"/>
      <c r="AD37" s="61"/>
    </row>
    <row r="38" spans="1:30" x14ac:dyDescent="0.25">
      <c r="A38" s="67"/>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4"/>
      <c r="AB38" s="64"/>
      <c r="AC38" s="64"/>
      <c r="AD38" s="65"/>
    </row>
    <row r="39" spans="1:30" x14ac:dyDescent="0.25">
      <c r="A39" s="58"/>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60"/>
      <c r="AB39" s="60"/>
      <c r="AC39" s="60"/>
      <c r="AD39" s="61"/>
    </row>
    <row r="40" spans="1:30" x14ac:dyDescent="0.25">
      <c r="A40" s="62"/>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6"/>
      <c r="AB40" s="56"/>
      <c r="AC40" s="56"/>
      <c r="AD40" s="57"/>
    </row>
    <row r="42" spans="1:30" x14ac:dyDescent="0.25">
      <c r="A42" s="35" t="s">
        <v>164</v>
      </c>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7"/>
    </row>
    <row r="43" spans="1:30" ht="51" customHeight="1" x14ac:dyDescent="0.25">
      <c r="A43" s="38" t="s">
        <v>165</v>
      </c>
      <c r="B43" s="39"/>
      <c r="C43" s="39"/>
      <c r="D43" s="39"/>
      <c r="E43" s="39"/>
      <c r="F43" s="40"/>
      <c r="G43" s="32" t="s">
        <v>220</v>
      </c>
      <c r="H43" s="33"/>
      <c r="I43" s="33"/>
      <c r="J43" s="33"/>
      <c r="K43" s="33"/>
      <c r="L43" s="33"/>
      <c r="M43" s="33"/>
      <c r="N43" s="33"/>
      <c r="O43" s="33"/>
      <c r="P43" s="33"/>
      <c r="Q43" s="33"/>
      <c r="R43" s="33"/>
      <c r="S43" s="33"/>
      <c r="T43" s="33"/>
      <c r="U43" s="33"/>
      <c r="V43" s="33"/>
      <c r="W43" s="33"/>
      <c r="X43" s="33"/>
      <c r="Y43" s="33"/>
      <c r="Z43" s="33"/>
      <c r="AA43" s="33"/>
      <c r="AB43" s="33"/>
      <c r="AC43" s="33"/>
      <c r="AD43" s="34"/>
    </row>
    <row r="44" spans="1:30" ht="63" customHeight="1" x14ac:dyDescent="0.25">
      <c r="A44" s="41" t="s">
        <v>166</v>
      </c>
      <c r="B44" s="42"/>
      <c r="C44" s="42"/>
      <c r="D44" s="42"/>
      <c r="E44" s="42"/>
      <c r="F44" s="43"/>
      <c r="G44" s="47" t="s">
        <v>221</v>
      </c>
      <c r="H44" s="48"/>
      <c r="I44" s="48"/>
      <c r="J44" s="48"/>
      <c r="K44" s="48"/>
      <c r="L44" s="48"/>
      <c r="M44" s="48"/>
      <c r="N44" s="48"/>
      <c r="O44" s="48"/>
      <c r="P44" s="48"/>
      <c r="Q44" s="48"/>
      <c r="R44" s="48"/>
      <c r="S44" s="48"/>
      <c r="T44" s="48"/>
      <c r="U44" s="48"/>
      <c r="V44" s="48"/>
      <c r="W44" s="48"/>
      <c r="X44" s="48"/>
      <c r="Y44" s="48"/>
      <c r="Z44" s="48"/>
      <c r="AA44" s="48"/>
      <c r="AB44" s="48"/>
      <c r="AC44" s="48"/>
      <c r="AD44" s="49"/>
    </row>
    <row r="45" spans="1:30" ht="92.25" customHeight="1" x14ac:dyDescent="0.25">
      <c r="A45" s="41" t="s">
        <v>167</v>
      </c>
      <c r="B45" s="42"/>
      <c r="C45" s="42"/>
      <c r="D45" s="42"/>
      <c r="E45" s="42"/>
      <c r="F45" s="43"/>
      <c r="G45" s="17" t="s">
        <v>238</v>
      </c>
      <c r="H45" s="50"/>
      <c r="I45" s="50"/>
      <c r="J45" s="50"/>
      <c r="K45" s="50"/>
      <c r="L45" s="50"/>
      <c r="M45" s="50"/>
      <c r="N45" s="50"/>
      <c r="O45" s="50"/>
      <c r="P45" s="50"/>
      <c r="Q45" s="50"/>
      <c r="R45" s="50"/>
      <c r="S45" s="50"/>
      <c r="T45" s="50"/>
      <c r="U45" s="50"/>
      <c r="V45" s="50"/>
      <c r="W45" s="50"/>
      <c r="X45" s="50"/>
      <c r="Y45" s="50"/>
      <c r="Z45" s="50"/>
      <c r="AA45" s="50"/>
      <c r="AB45" s="50"/>
      <c r="AC45" s="50"/>
      <c r="AD45" s="51"/>
    </row>
    <row r="46" spans="1:30" ht="48" customHeight="1" x14ac:dyDescent="0.25">
      <c r="A46" s="44" t="s">
        <v>168</v>
      </c>
      <c r="B46" s="45"/>
      <c r="C46" s="45"/>
      <c r="D46" s="45"/>
      <c r="E46" s="45"/>
      <c r="F46" s="46"/>
      <c r="G46" s="52" t="s">
        <v>239</v>
      </c>
      <c r="H46" s="53"/>
      <c r="I46" s="53"/>
      <c r="J46" s="53"/>
      <c r="K46" s="53"/>
      <c r="L46" s="53"/>
      <c r="M46" s="53"/>
      <c r="N46" s="53"/>
      <c r="O46" s="53"/>
      <c r="P46" s="53"/>
      <c r="Q46" s="53"/>
      <c r="R46" s="53"/>
      <c r="S46" s="53"/>
      <c r="T46" s="53"/>
      <c r="U46" s="53"/>
      <c r="V46" s="53"/>
      <c r="W46" s="53"/>
      <c r="X46" s="53"/>
      <c r="Y46" s="53"/>
      <c r="Z46" s="53"/>
      <c r="AA46" s="53"/>
      <c r="AB46" s="53"/>
      <c r="AC46" s="53"/>
      <c r="AD46" s="54"/>
    </row>
    <row r="47" spans="1:30" ht="15" customHeight="1" x14ac:dyDescent="0.25"/>
    <row r="48" spans="1:30" x14ac:dyDescent="0.25">
      <c r="A48" s="35" t="s">
        <v>169</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7"/>
    </row>
    <row r="49" spans="1:30" ht="49.5" customHeight="1" x14ac:dyDescent="0.25">
      <c r="A49" s="23" t="s">
        <v>165</v>
      </c>
      <c r="B49" s="24"/>
      <c r="C49" s="24"/>
      <c r="D49" s="24"/>
      <c r="E49" s="24"/>
      <c r="F49" s="25"/>
      <c r="G49" s="32" t="s">
        <v>222</v>
      </c>
      <c r="H49" s="33"/>
      <c r="I49" s="33"/>
      <c r="J49" s="33"/>
      <c r="K49" s="33"/>
      <c r="L49" s="33"/>
      <c r="M49" s="33"/>
      <c r="N49" s="33"/>
      <c r="O49" s="33"/>
      <c r="P49" s="33"/>
      <c r="Q49" s="33"/>
      <c r="R49" s="33"/>
      <c r="S49" s="33"/>
      <c r="T49" s="33"/>
      <c r="U49" s="33"/>
      <c r="V49" s="33"/>
      <c r="W49" s="33"/>
      <c r="X49" s="33"/>
      <c r="Y49" s="33"/>
      <c r="Z49" s="33"/>
      <c r="AA49" s="33"/>
      <c r="AB49" s="33"/>
      <c r="AC49" s="33"/>
      <c r="AD49" s="34"/>
    </row>
    <row r="50" spans="1:30" ht="49.5" customHeight="1" x14ac:dyDescent="0.25">
      <c r="A50" s="26" t="s">
        <v>170</v>
      </c>
      <c r="B50" s="27"/>
      <c r="C50" s="27"/>
      <c r="D50" s="27"/>
      <c r="E50" s="27"/>
      <c r="F50" s="28"/>
      <c r="G50" s="14" t="s">
        <v>211</v>
      </c>
      <c r="H50" s="15"/>
      <c r="I50" s="15"/>
      <c r="J50" s="15"/>
      <c r="K50" s="15"/>
      <c r="L50" s="15"/>
      <c r="M50" s="15"/>
      <c r="N50" s="15"/>
      <c r="O50" s="15"/>
      <c r="P50" s="15"/>
      <c r="Q50" s="15"/>
      <c r="R50" s="15"/>
      <c r="S50" s="15"/>
      <c r="T50" s="15"/>
      <c r="U50" s="15"/>
      <c r="V50" s="15"/>
      <c r="W50" s="15"/>
      <c r="X50" s="15"/>
      <c r="Y50" s="15"/>
      <c r="Z50" s="15"/>
      <c r="AA50" s="15"/>
      <c r="AB50" s="15"/>
      <c r="AC50" s="15"/>
      <c r="AD50" s="16"/>
    </row>
    <row r="51" spans="1:30" ht="46.5" customHeight="1" x14ac:dyDescent="0.25">
      <c r="A51" s="26" t="s">
        <v>171</v>
      </c>
      <c r="B51" s="27"/>
      <c r="C51" s="27"/>
      <c r="D51" s="27"/>
      <c r="E51" s="27"/>
      <c r="F51" s="28"/>
      <c r="G51" s="17" t="s">
        <v>212</v>
      </c>
      <c r="H51" s="18"/>
      <c r="I51" s="18"/>
      <c r="J51" s="18"/>
      <c r="K51" s="18"/>
      <c r="L51" s="18"/>
      <c r="M51" s="18"/>
      <c r="N51" s="18"/>
      <c r="O51" s="18"/>
      <c r="P51" s="18"/>
      <c r="Q51" s="18"/>
      <c r="R51" s="18"/>
      <c r="S51" s="18"/>
      <c r="T51" s="18"/>
      <c r="U51" s="18"/>
      <c r="V51" s="18"/>
      <c r="W51" s="18"/>
      <c r="X51" s="18"/>
      <c r="Y51" s="18"/>
      <c r="Z51" s="18"/>
      <c r="AA51" s="18"/>
      <c r="AB51" s="18"/>
      <c r="AC51" s="18"/>
      <c r="AD51" s="19"/>
    </row>
    <row r="52" spans="1:30" ht="38.25" customHeight="1" x14ac:dyDescent="0.25">
      <c r="A52" s="26" t="s">
        <v>172</v>
      </c>
      <c r="B52" s="27"/>
      <c r="C52" s="27"/>
      <c r="D52" s="27"/>
      <c r="E52" s="27"/>
      <c r="F52" s="28"/>
      <c r="G52" s="14" t="s">
        <v>213</v>
      </c>
      <c r="H52" s="15"/>
      <c r="I52" s="15"/>
      <c r="J52" s="15"/>
      <c r="K52" s="15"/>
      <c r="L52" s="15"/>
      <c r="M52" s="15"/>
      <c r="N52" s="15"/>
      <c r="O52" s="15"/>
      <c r="P52" s="15"/>
      <c r="Q52" s="15"/>
      <c r="R52" s="15"/>
      <c r="S52" s="15"/>
      <c r="T52" s="15"/>
      <c r="U52" s="15"/>
      <c r="V52" s="15"/>
      <c r="W52" s="15"/>
      <c r="X52" s="15"/>
      <c r="Y52" s="15"/>
      <c r="Z52" s="15"/>
      <c r="AA52" s="15"/>
      <c r="AB52" s="15"/>
      <c r="AC52" s="15"/>
      <c r="AD52" s="16"/>
    </row>
    <row r="53" spans="1:30" ht="64.5" customHeight="1" x14ac:dyDescent="0.25">
      <c r="A53" s="29" t="s">
        <v>173</v>
      </c>
      <c r="B53" s="30"/>
      <c r="C53" s="30"/>
      <c r="D53" s="30"/>
      <c r="E53" s="30"/>
      <c r="F53" s="31"/>
      <c r="G53" s="20" t="s">
        <v>240</v>
      </c>
      <c r="H53" s="21"/>
      <c r="I53" s="21"/>
      <c r="J53" s="21"/>
      <c r="K53" s="21"/>
      <c r="L53" s="21"/>
      <c r="M53" s="21"/>
      <c r="N53" s="21"/>
      <c r="O53" s="21"/>
      <c r="P53" s="21"/>
      <c r="Q53" s="21"/>
      <c r="R53" s="21"/>
      <c r="S53" s="21"/>
      <c r="T53" s="21"/>
      <c r="U53" s="21"/>
      <c r="V53" s="21"/>
      <c r="W53" s="21"/>
      <c r="X53" s="21"/>
      <c r="Y53" s="21"/>
      <c r="Z53" s="21"/>
      <c r="AA53" s="21"/>
      <c r="AB53" s="21"/>
      <c r="AC53" s="21"/>
      <c r="AD53" s="22"/>
    </row>
    <row r="54" spans="1:30" ht="75" customHeight="1" x14ac:dyDescent="0.25"/>
    <row r="55" spans="1:30" ht="75" customHeight="1" x14ac:dyDescent="0.25"/>
    <row r="56" spans="1:30" ht="75" customHeight="1" x14ac:dyDescent="0.25"/>
    <row r="57" spans="1:30" ht="75" customHeight="1" x14ac:dyDescent="0.25"/>
  </sheetData>
  <mergeCells count="111">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 ref="A34:AD34"/>
    <mergeCell ref="A27:AD27"/>
    <mergeCell ref="G17:AD17"/>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G22:AD22"/>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Z36:AD36"/>
    <mergeCell ref="H35:M35"/>
    <mergeCell ref="N35:S35"/>
    <mergeCell ref="T35:Y35"/>
    <mergeCell ref="Z35:AD35"/>
    <mergeCell ref="A36:C36"/>
    <mergeCell ref="D36:G36"/>
    <mergeCell ref="H36:M36"/>
    <mergeCell ref="N36:S36"/>
    <mergeCell ref="T36:Y36"/>
    <mergeCell ref="A35:C35"/>
    <mergeCell ref="D35:G35"/>
    <mergeCell ref="Z38:AD38"/>
    <mergeCell ref="A37:C37"/>
    <mergeCell ref="D37:G37"/>
    <mergeCell ref="H37:M37"/>
    <mergeCell ref="N37:S37"/>
    <mergeCell ref="T37:Y37"/>
    <mergeCell ref="Z37:AD37"/>
    <mergeCell ref="A38:C38"/>
    <mergeCell ref="D38:G38"/>
    <mergeCell ref="H38:M38"/>
    <mergeCell ref="N38:S38"/>
    <mergeCell ref="T38:Y38"/>
    <mergeCell ref="Z40:AD40"/>
    <mergeCell ref="A39:C39"/>
    <mergeCell ref="D39:G39"/>
    <mergeCell ref="H39:M39"/>
    <mergeCell ref="N39:S39"/>
    <mergeCell ref="T39:Y39"/>
    <mergeCell ref="Z39:AD39"/>
    <mergeCell ref="A40:C40"/>
    <mergeCell ref="D40:G40"/>
    <mergeCell ref="H40:M40"/>
    <mergeCell ref="N40:S40"/>
    <mergeCell ref="T40:Y40"/>
    <mergeCell ref="A42:AD42"/>
    <mergeCell ref="A48:AD48"/>
    <mergeCell ref="A43:F43"/>
    <mergeCell ref="A44:F44"/>
    <mergeCell ref="A45:F45"/>
    <mergeCell ref="A46:F46"/>
    <mergeCell ref="G43:AD43"/>
    <mergeCell ref="G44:AD44"/>
    <mergeCell ref="G45:AD45"/>
    <mergeCell ref="G46:AD46"/>
    <mergeCell ref="G50:AD50"/>
    <mergeCell ref="G51:AD51"/>
    <mergeCell ref="G52:AD52"/>
    <mergeCell ref="G53:AD53"/>
    <mergeCell ref="A49:F49"/>
    <mergeCell ref="A50:F50"/>
    <mergeCell ref="A51:F51"/>
    <mergeCell ref="A52:F52"/>
    <mergeCell ref="A53:F53"/>
    <mergeCell ref="G49:AD49"/>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5">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pageMargins left="0.51181102362204722" right="0.51181102362204722" top="0.74803149606299213" bottom="0.74803149606299213" header="0.31496062992125984" footer="0.31496062992125984"/>
  <pageSetup paperSize="9" orientation="portrait" horizontalDpi="0" verticalDpi="0" r:id="rId1"/>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2"/>
  <sheetViews>
    <sheetView showGridLines="0" view="pageBreakPreview" zoomScale="130" zoomScaleNormal="100" zoomScaleSheetLayoutView="130" workbookViewId="0">
      <selection activeCell="A30" sqref="A30:F30"/>
    </sheetView>
  </sheetViews>
  <sheetFormatPr defaultColWidth="3" defaultRowHeight="15" customHeight="1" x14ac:dyDescent="0.25"/>
  <sheetData>
    <row r="1" spans="1:30" ht="30" customHeight="1" x14ac:dyDescent="0.25">
      <c r="A1" s="127" t="str">
        <f xml:space="preserve"> "ACTIVITY " &amp; 'Activity Info'!G4 &amp; " — QUESTION 1"</f>
        <v>ACTIVITY PR-004 — QUESTION 1</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t="s">
        <v>223</v>
      </c>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t="str">
        <f>IF('Activity Info'!D36&lt;&gt;"",VLOOKUP('Activity Info'!D36,'Activity Info'!A28:G32,7),"")</f>
        <v>The student will be able to calculate observed yield and analyze its relationship with the specified model yield coefficient using steady-state simulation results and SRT comparisons.</v>
      </c>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t="str">
        <f>IF('Activity Info'!H36&lt;&gt;"",'Activity Info'!H36,"")</f>
        <v>PO-6</v>
      </c>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t="str">
        <f>IF('Activity Info'!N36&lt;&gt;"",'Activity Info'!N36,"")</f>
        <v>PO-2</v>
      </c>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t="str">
        <f>IF('Activity Info'!T36&lt;&gt;"",'Activity Info'!T36,"")</f>
        <v>PÇ-5.4</v>
      </c>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t="str">
        <f>IF('Activity Info'!Z36&lt;&gt;"",'Activity Info'!Z36,"")</f>
        <v>Analyze</v>
      </c>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82.5" customHeight="1" x14ac:dyDescent="0.25">
      <c r="A10" s="128" t="s">
        <v>175</v>
      </c>
      <c r="B10" s="128"/>
      <c r="C10" s="128"/>
      <c r="D10" s="128"/>
      <c r="E10" s="128"/>
      <c r="F10" s="128"/>
      <c r="G10" s="129" t="s">
        <v>231</v>
      </c>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t="s">
        <v>197</v>
      </c>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t="s">
        <v>182</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t="s">
        <v>186</v>
      </c>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21" customHeight="1" x14ac:dyDescent="0.25">
      <c r="A16" s="139"/>
      <c r="B16" s="135" t="s">
        <v>180</v>
      </c>
      <c r="C16" s="135"/>
      <c r="D16" s="135"/>
      <c r="E16" s="135"/>
      <c r="F16" s="136"/>
      <c r="G16" s="164" t="s">
        <v>183</v>
      </c>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t="s">
        <v>205</v>
      </c>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t="s">
        <v>190</v>
      </c>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t="s">
        <v>192</v>
      </c>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20.25" customHeight="1" x14ac:dyDescent="0.25">
      <c r="A20" s="148"/>
      <c r="B20" s="144" t="s">
        <v>189</v>
      </c>
      <c r="C20" s="144"/>
      <c r="D20" s="144"/>
      <c r="E20" s="144"/>
      <c r="F20" s="145"/>
      <c r="G20" s="159" t="s">
        <v>224</v>
      </c>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46" t="s">
        <v>199</v>
      </c>
      <c r="B21" s="144" t="s">
        <v>187</v>
      </c>
      <c r="C21" s="144"/>
      <c r="D21" s="144"/>
      <c r="E21" s="144"/>
      <c r="F21" s="145"/>
      <c r="G21" s="125" t="s">
        <v>202</v>
      </c>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5" customHeight="1" x14ac:dyDescent="0.25">
      <c r="A22" s="147"/>
      <c r="B22" s="144" t="s">
        <v>188</v>
      </c>
      <c r="C22" s="144"/>
      <c r="D22" s="144"/>
      <c r="E22" s="144"/>
      <c r="F22" s="145"/>
      <c r="G22" s="125" t="s">
        <v>203</v>
      </c>
      <c r="H22" s="125"/>
      <c r="I22" s="125"/>
      <c r="J22" s="125"/>
      <c r="K22" s="125"/>
      <c r="L22" s="125"/>
      <c r="M22" s="125"/>
      <c r="N22" s="125"/>
      <c r="O22" s="125"/>
      <c r="P22" s="125"/>
      <c r="Q22" s="125"/>
      <c r="R22" s="125"/>
      <c r="S22" s="125"/>
      <c r="T22" s="125"/>
      <c r="U22" s="125"/>
      <c r="V22" s="125"/>
      <c r="W22" s="125"/>
      <c r="X22" s="125"/>
      <c r="Y22" s="125"/>
      <c r="Z22" s="125"/>
      <c r="AA22" s="125"/>
      <c r="AB22" s="125"/>
      <c r="AC22" s="125"/>
      <c r="AD22" s="126"/>
    </row>
    <row r="23" spans="1:30" ht="15" customHeight="1" x14ac:dyDescent="0.25">
      <c r="A23" s="148"/>
      <c r="B23" s="144" t="s">
        <v>198</v>
      </c>
      <c r="C23" s="144"/>
      <c r="D23" s="144"/>
      <c r="E23" s="144"/>
      <c r="F23" s="145"/>
      <c r="G23" s="125">
        <v>5</v>
      </c>
      <c r="H23" s="125"/>
      <c r="I23" s="125"/>
      <c r="J23" s="125"/>
      <c r="K23" s="125"/>
      <c r="L23" s="125"/>
      <c r="M23" s="125"/>
      <c r="N23" s="125"/>
      <c r="O23" s="125"/>
      <c r="P23" s="125"/>
      <c r="Q23" s="125"/>
      <c r="R23" s="125"/>
      <c r="S23" s="125"/>
      <c r="T23" s="125"/>
      <c r="U23" s="125"/>
      <c r="V23" s="125"/>
      <c r="W23" s="125"/>
      <c r="X23" s="125"/>
      <c r="Y23" s="125"/>
      <c r="Z23" s="125"/>
      <c r="AA23" s="125"/>
      <c r="AB23" s="125"/>
      <c r="AC23" s="125"/>
      <c r="AD23" s="126"/>
    </row>
    <row r="24" spans="1:30" ht="15" customHeight="1" x14ac:dyDescent="0.25">
      <c r="A24" s="149" t="s">
        <v>200</v>
      </c>
      <c r="B24" s="150"/>
      <c r="C24" s="150"/>
      <c r="D24" s="150"/>
      <c r="E24" s="150"/>
      <c r="F24" s="151"/>
      <c r="G24" s="162" t="s">
        <v>182</v>
      </c>
      <c r="H24" s="162"/>
      <c r="I24" s="162"/>
      <c r="J24" s="162"/>
      <c r="K24" s="162"/>
      <c r="L24" s="162"/>
      <c r="M24" s="162"/>
      <c r="N24" s="162"/>
      <c r="O24" s="162"/>
      <c r="P24" s="162"/>
      <c r="Q24" s="162"/>
      <c r="R24" s="162"/>
      <c r="S24" s="162"/>
      <c r="T24" s="162"/>
      <c r="U24" s="162"/>
      <c r="V24" s="162"/>
      <c r="W24" s="162"/>
      <c r="X24" s="162"/>
      <c r="Y24" s="162"/>
      <c r="Z24" s="162"/>
      <c r="AA24" s="162"/>
      <c r="AB24" s="162"/>
      <c r="AC24" s="162"/>
      <c r="AD24" s="163"/>
    </row>
    <row r="25" spans="1:30" ht="15" customHeight="1" x14ac:dyDescent="0.25">
      <c r="A25" s="176" t="s">
        <v>201</v>
      </c>
      <c r="B25" s="177"/>
      <c r="C25" s="177"/>
      <c r="D25" s="177"/>
      <c r="E25" s="177"/>
      <c r="F25" s="178"/>
      <c r="G25" s="162" t="s">
        <v>214</v>
      </c>
      <c r="H25" s="162"/>
      <c r="I25" s="162"/>
      <c r="J25" s="162"/>
      <c r="K25" s="162"/>
      <c r="L25" s="162"/>
      <c r="M25" s="162"/>
      <c r="N25" s="162"/>
      <c r="O25" s="162"/>
      <c r="P25" s="162"/>
      <c r="Q25" s="162"/>
      <c r="R25" s="162"/>
      <c r="S25" s="162"/>
      <c r="T25" s="162"/>
      <c r="U25" s="162"/>
      <c r="V25" s="162"/>
      <c r="W25" s="162"/>
      <c r="X25" s="162"/>
      <c r="Y25" s="162"/>
      <c r="Z25" s="162"/>
      <c r="AA25" s="162"/>
      <c r="AB25" s="162"/>
      <c r="AC25" s="162"/>
      <c r="AD25" s="163"/>
    </row>
    <row r="26" spans="1:30" ht="32.25" customHeight="1" x14ac:dyDescent="0.25">
      <c r="A26" s="176" t="s">
        <v>215</v>
      </c>
      <c r="B26" s="177"/>
      <c r="C26" s="177"/>
      <c r="D26" s="177"/>
      <c r="E26" s="177"/>
      <c r="F26" s="178"/>
      <c r="G26" s="192" t="s">
        <v>225</v>
      </c>
      <c r="H26" s="157"/>
      <c r="I26" s="157"/>
      <c r="J26" s="157"/>
      <c r="K26" s="157"/>
      <c r="L26" s="157"/>
      <c r="M26" s="157"/>
      <c r="N26" s="157"/>
      <c r="O26" s="157"/>
      <c r="P26" s="157"/>
      <c r="Q26" s="157"/>
      <c r="R26" s="157"/>
      <c r="S26" s="157"/>
      <c r="T26" s="157"/>
      <c r="U26" s="157"/>
      <c r="V26" s="157"/>
      <c r="W26" s="157"/>
      <c r="X26" s="157"/>
      <c r="Y26" s="157"/>
      <c r="Z26" s="157"/>
      <c r="AA26" s="157"/>
      <c r="AB26" s="157"/>
      <c r="AC26" s="157"/>
      <c r="AD26" s="158"/>
    </row>
    <row r="27" spans="1:30" ht="15" customHeight="1" x14ac:dyDescent="0.25">
      <c r="A27" s="181" t="s">
        <v>194</v>
      </c>
      <c r="B27" s="144"/>
      <c r="C27" s="144"/>
      <c r="D27" s="144"/>
      <c r="E27" s="144"/>
      <c r="F27" s="145"/>
      <c r="G27" s="160" t="s">
        <v>204</v>
      </c>
      <c r="H27" s="160"/>
      <c r="I27" s="160"/>
      <c r="J27" s="160"/>
      <c r="K27" s="160"/>
      <c r="L27" s="160"/>
      <c r="M27" s="160"/>
      <c r="N27" s="160"/>
      <c r="O27" s="160"/>
      <c r="P27" s="160"/>
      <c r="Q27" s="160"/>
      <c r="R27" s="160"/>
      <c r="S27" s="160"/>
      <c r="T27" s="160"/>
      <c r="U27" s="160"/>
      <c r="V27" s="160"/>
      <c r="W27" s="160"/>
      <c r="X27" s="160"/>
      <c r="Y27" s="160"/>
      <c r="Z27" s="160"/>
      <c r="AA27" s="160"/>
      <c r="AB27" s="160"/>
      <c r="AC27" s="160"/>
      <c r="AD27" s="161"/>
    </row>
    <row r="28" spans="1:30" ht="192" customHeight="1" x14ac:dyDescent="0.25">
      <c r="A28" s="186" t="s">
        <v>177</v>
      </c>
      <c r="B28" s="187"/>
      <c r="C28" s="187"/>
      <c r="D28" s="187"/>
      <c r="E28" s="187"/>
      <c r="F28" s="188"/>
      <c r="G28" s="189" t="s">
        <v>195</v>
      </c>
      <c r="H28" s="190"/>
      <c r="I28" s="190"/>
      <c r="J28" s="190"/>
      <c r="K28" s="190"/>
      <c r="L28" s="190"/>
      <c r="M28" s="190"/>
      <c r="N28" s="190"/>
      <c r="O28" s="190"/>
      <c r="P28" s="190"/>
      <c r="Q28" s="190"/>
      <c r="R28" s="190"/>
      <c r="S28" s="190"/>
      <c r="T28" s="190"/>
      <c r="U28" s="190"/>
      <c r="V28" s="190"/>
      <c r="W28" s="190"/>
      <c r="X28" s="190"/>
      <c r="Y28" s="190"/>
      <c r="Z28" s="190"/>
      <c r="AA28" s="190"/>
      <c r="AB28" s="190"/>
      <c r="AC28" s="190"/>
      <c r="AD28" s="191"/>
    </row>
    <row r="29" spans="1:30" ht="1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357" customHeight="1" x14ac:dyDescent="0.25">
      <c r="A30" s="128" t="s">
        <v>178</v>
      </c>
      <c r="B30" s="128"/>
      <c r="C30" s="128"/>
      <c r="D30" s="128"/>
      <c r="E30" s="128"/>
      <c r="F30" s="128"/>
      <c r="G30" s="129" t="s">
        <v>241</v>
      </c>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row>
    <row r="31" spans="1:30" ht="15" customHeight="1" x14ac:dyDescent="0.25">
      <c r="A31" s="12"/>
      <c r="B31" s="12"/>
      <c r="C31" s="12"/>
      <c r="D31" s="12"/>
      <c r="E31" s="12"/>
      <c r="F31" s="12"/>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32.25" customHeight="1" x14ac:dyDescent="0.25">
      <c r="A32" s="128" t="s">
        <v>196</v>
      </c>
      <c r="B32" s="128"/>
      <c r="C32" s="128"/>
      <c r="D32" s="128"/>
      <c r="E32" s="128"/>
      <c r="F32" s="128"/>
      <c r="G32" s="185" t="s">
        <v>226</v>
      </c>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row>
  </sheetData>
  <mergeCells count="58">
    <mergeCell ref="G24:AD24"/>
    <mergeCell ref="G25:AD25"/>
    <mergeCell ref="A32:F32"/>
    <mergeCell ref="G32:AD32"/>
    <mergeCell ref="A28:F28"/>
    <mergeCell ref="A27:F27"/>
    <mergeCell ref="A25:F25"/>
    <mergeCell ref="G27:AD27"/>
    <mergeCell ref="G28:AD28"/>
    <mergeCell ref="A26:F26"/>
    <mergeCell ref="G26:AD26"/>
    <mergeCell ref="G8:AD8"/>
    <mergeCell ref="A9:F9"/>
    <mergeCell ref="G9:AD9"/>
    <mergeCell ref="A2:L2"/>
    <mergeCell ref="A3:F3"/>
    <mergeCell ref="G3:AD3"/>
    <mergeCell ref="A5:F5"/>
    <mergeCell ref="G5:AD5"/>
    <mergeCell ref="A4:F4"/>
    <mergeCell ref="G4:AD4"/>
    <mergeCell ref="A6:F6"/>
    <mergeCell ref="G6:AD6"/>
    <mergeCell ref="A7:F7"/>
    <mergeCell ref="G7:AD7"/>
    <mergeCell ref="A8:F8"/>
    <mergeCell ref="A17:A20"/>
    <mergeCell ref="A10:F10"/>
    <mergeCell ref="G10:AD10"/>
    <mergeCell ref="A13:F13"/>
    <mergeCell ref="G13:AD13"/>
    <mergeCell ref="G18:AD18"/>
    <mergeCell ref="G20:AD20"/>
    <mergeCell ref="G19:AD19"/>
    <mergeCell ref="G14:AD14"/>
    <mergeCell ref="G16:AD16"/>
    <mergeCell ref="G17:AD17"/>
    <mergeCell ref="A21:A23"/>
    <mergeCell ref="B21:F21"/>
    <mergeCell ref="B22:F22"/>
    <mergeCell ref="B23:F23"/>
    <mergeCell ref="A24:F24"/>
    <mergeCell ref="G21:AD21"/>
    <mergeCell ref="G22:AD22"/>
    <mergeCell ref="G23:AD23"/>
    <mergeCell ref="A1:AD1"/>
    <mergeCell ref="A30:F30"/>
    <mergeCell ref="G30:AD30"/>
    <mergeCell ref="A12:AD12"/>
    <mergeCell ref="B14:F14"/>
    <mergeCell ref="B16:F16"/>
    <mergeCell ref="A14:A16"/>
    <mergeCell ref="B15:F15"/>
    <mergeCell ref="G15:AD15"/>
    <mergeCell ref="B17:F17"/>
    <mergeCell ref="B18:F18"/>
    <mergeCell ref="B20:F20"/>
    <mergeCell ref="B19:F19"/>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9"/>
  <sheetViews>
    <sheetView showGridLines="0" view="pageBreakPreview" zoomScale="130" zoomScaleNormal="100" zoomScaleSheetLayoutView="130" workbookViewId="0">
      <selection activeCell="A29" sqref="A29:XFD29"/>
    </sheetView>
  </sheetViews>
  <sheetFormatPr defaultColWidth="3" defaultRowHeight="15" x14ac:dyDescent="0.25"/>
  <sheetData>
    <row r="1" spans="1:30" ht="30" customHeight="1" x14ac:dyDescent="0.25">
      <c r="A1" s="127" t="str">
        <f xml:space="preserve"> "ACTIVITY " &amp; 'Activity Info'!G4 &amp; " — QUESTION 2"</f>
        <v>ACTIVITY PR-004 — QUESTION 2</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t="s">
        <v>227</v>
      </c>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t="str">
        <f>IF('Activity Info'!D37&lt;&gt;"",VLOOKUP('Activity Info'!D37,'Activity Info'!A28:G32,7),"")</f>
        <v>The student will be able to analyze the effect of the specific decay rate on observed yield while accounting for possible changes in solids retention.</v>
      </c>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t="str">
        <f>IF('Activity Info'!H37&lt;&gt;"",'Activity Info'!H37,"")</f>
        <v>PO-6</v>
      </c>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t="str">
        <f>IF('Activity Info'!N37&lt;&gt;"",'Activity Info'!N37,"")</f>
        <v>PO-2</v>
      </c>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t="str">
        <f>IF('Activity Info'!T37&lt;&gt;"",'Activity Info'!T37,"")</f>
        <v>PÇ-5.4</v>
      </c>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t="str">
        <f>IF('Activity Info'!Z37&lt;&gt;"",'Activity Info'!Z37,"")</f>
        <v>Analyze</v>
      </c>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82.5" customHeight="1" x14ac:dyDescent="0.25">
      <c r="A10" s="128" t="s">
        <v>175</v>
      </c>
      <c r="B10" s="128"/>
      <c r="C10" s="128"/>
      <c r="D10" s="128"/>
      <c r="E10" s="128"/>
      <c r="F10" s="128"/>
      <c r="G10" s="129" t="s">
        <v>232</v>
      </c>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t="s">
        <v>197</v>
      </c>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t="s">
        <v>182</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t="s">
        <v>186</v>
      </c>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21" customHeight="1" x14ac:dyDescent="0.25">
      <c r="A16" s="139"/>
      <c r="B16" s="135" t="s">
        <v>180</v>
      </c>
      <c r="C16" s="135"/>
      <c r="D16" s="135"/>
      <c r="E16" s="135"/>
      <c r="F16" s="136"/>
      <c r="G16" s="164" t="s">
        <v>183</v>
      </c>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t="s">
        <v>205</v>
      </c>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t="s">
        <v>190</v>
      </c>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t="s">
        <v>192</v>
      </c>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20.25" customHeight="1" x14ac:dyDescent="0.25">
      <c r="A20" s="148"/>
      <c r="B20" s="144" t="s">
        <v>189</v>
      </c>
      <c r="C20" s="144"/>
      <c r="D20" s="144"/>
      <c r="E20" s="144"/>
      <c r="F20" s="145"/>
      <c r="G20" s="159" t="s">
        <v>224</v>
      </c>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46" t="s">
        <v>199</v>
      </c>
      <c r="B21" s="144" t="s">
        <v>187</v>
      </c>
      <c r="C21" s="144"/>
      <c r="D21" s="144"/>
      <c r="E21" s="144"/>
      <c r="F21" s="145"/>
      <c r="G21" s="125" t="s">
        <v>202</v>
      </c>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5" customHeight="1" x14ac:dyDescent="0.25">
      <c r="A22" s="147"/>
      <c r="B22" s="144" t="s">
        <v>188</v>
      </c>
      <c r="C22" s="144"/>
      <c r="D22" s="144"/>
      <c r="E22" s="144"/>
      <c r="F22" s="145"/>
      <c r="G22" s="125" t="s">
        <v>203</v>
      </c>
      <c r="H22" s="125"/>
      <c r="I22" s="125"/>
      <c r="J22" s="125"/>
      <c r="K22" s="125"/>
      <c r="L22" s="125"/>
      <c r="M22" s="125"/>
      <c r="N22" s="125"/>
      <c r="O22" s="125"/>
      <c r="P22" s="125"/>
      <c r="Q22" s="125"/>
      <c r="R22" s="125"/>
      <c r="S22" s="125"/>
      <c r="T22" s="125"/>
      <c r="U22" s="125"/>
      <c r="V22" s="125"/>
      <c r="W22" s="125"/>
      <c r="X22" s="125"/>
      <c r="Y22" s="125"/>
      <c r="Z22" s="125"/>
      <c r="AA22" s="125"/>
      <c r="AB22" s="125"/>
      <c r="AC22" s="125"/>
      <c r="AD22" s="126"/>
    </row>
    <row r="23" spans="1:30" ht="15" customHeight="1" x14ac:dyDescent="0.25">
      <c r="A23" s="148"/>
      <c r="B23" s="144" t="s">
        <v>198</v>
      </c>
      <c r="C23" s="144"/>
      <c r="D23" s="144"/>
      <c r="E23" s="144"/>
      <c r="F23" s="145"/>
      <c r="G23" s="125">
        <v>5</v>
      </c>
      <c r="H23" s="125"/>
      <c r="I23" s="125"/>
      <c r="J23" s="125"/>
      <c r="K23" s="125"/>
      <c r="L23" s="125"/>
      <c r="M23" s="125"/>
      <c r="N23" s="125"/>
      <c r="O23" s="125"/>
      <c r="P23" s="125"/>
      <c r="Q23" s="125"/>
      <c r="R23" s="125"/>
      <c r="S23" s="125"/>
      <c r="T23" s="125"/>
      <c r="U23" s="125"/>
      <c r="V23" s="125"/>
      <c r="W23" s="125"/>
      <c r="X23" s="125"/>
      <c r="Y23" s="125"/>
      <c r="Z23" s="125"/>
      <c r="AA23" s="125"/>
      <c r="AB23" s="125"/>
      <c r="AC23" s="125"/>
      <c r="AD23" s="126"/>
    </row>
    <row r="24" spans="1:30" ht="15" customHeight="1" x14ac:dyDescent="0.25">
      <c r="A24" s="149" t="s">
        <v>200</v>
      </c>
      <c r="B24" s="150"/>
      <c r="C24" s="150"/>
      <c r="D24" s="150"/>
      <c r="E24" s="150"/>
      <c r="F24" s="151"/>
      <c r="G24" s="162" t="s">
        <v>182</v>
      </c>
      <c r="H24" s="162"/>
      <c r="I24" s="162"/>
      <c r="J24" s="162"/>
      <c r="K24" s="162"/>
      <c r="L24" s="162"/>
      <c r="M24" s="162"/>
      <c r="N24" s="162"/>
      <c r="O24" s="162"/>
      <c r="P24" s="162"/>
      <c r="Q24" s="162"/>
      <c r="R24" s="162"/>
      <c r="S24" s="162"/>
      <c r="T24" s="162"/>
      <c r="U24" s="162"/>
      <c r="V24" s="162"/>
      <c r="W24" s="162"/>
      <c r="X24" s="162"/>
      <c r="Y24" s="162"/>
      <c r="Z24" s="162"/>
      <c r="AA24" s="162"/>
      <c r="AB24" s="162"/>
      <c r="AC24" s="162"/>
      <c r="AD24" s="163"/>
    </row>
    <row r="25" spans="1:30" ht="15" customHeight="1" x14ac:dyDescent="0.25">
      <c r="A25" s="176" t="s">
        <v>201</v>
      </c>
      <c r="B25" s="177"/>
      <c r="C25" s="177"/>
      <c r="D25" s="177"/>
      <c r="E25" s="177"/>
      <c r="F25" s="178"/>
      <c r="G25" s="162" t="s">
        <v>214</v>
      </c>
      <c r="H25" s="162"/>
      <c r="I25" s="162"/>
      <c r="J25" s="162"/>
      <c r="K25" s="162"/>
      <c r="L25" s="162"/>
      <c r="M25" s="162"/>
      <c r="N25" s="162"/>
      <c r="O25" s="162"/>
      <c r="P25" s="162"/>
      <c r="Q25" s="162"/>
      <c r="R25" s="162"/>
      <c r="S25" s="162"/>
      <c r="T25" s="162"/>
      <c r="U25" s="162"/>
      <c r="V25" s="162"/>
      <c r="W25" s="162"/>
      <c r="X25" s="162"/>
      <c r="Y25" s="162"/>
      <c r="Z25" s="162"/>
      <c r="AA25" s="162"/>
      <c r="AB25" s="162"/>
      <c r="AC25" s="162"/>
      <c r="AD25" s="163"/>
    </row>
    <row r="26" spans="1:30" ht="33.75" customHeight="1" x14ac:dyDescent="0.25">
      <c r="A26" s="176" t="s">
        <v>215</v>
      </c>
      <c r="B26" s="177"/>
      <c r="C26" s="177"/>
      <c r="D26" s="177"/>
      <c r="E26" s="177"/>
      <c r="F26" s="178"/>
      <c r="G26" s="192" t="s">
        <v>228</v>
      </c>
      <c r="H26" s="157"/>
      <c r="I26" s="157"/>
      <c r="J26" s="157"/>
      <c r="K26" s="157"/>
      <c r="L26" s="157"/>
      <c r="M26" s="157"/>
      <c r="N26" s="157"/>
      <c r="O26" s="157"/>
      <c r="P26" s="157"/>
      <c r="Q26" s="157"/>
      <c r="R26" s="157"/>
      <c r="S26" s="157"/>
      <c r="T26" s="157"/>
      <c r="U26" s="157"/>
      <c r="V26" s="157"/>
      <c r="W26" s="157"/>
      <c r="X26" s="157"/>
      <c r="Y26" s="157"/>
      <c r="Z26" s="157"/>
      <c r="AA26" s="157"/>
      <c r="AB26" s="157"/>
      <c r="AC26" s="157"/>
      <c r="AD26" s="158"/>
    </row>
    <row r="27" spans="1:30" ht="15" customHeight="1" x14ac:dyDescent="0.25">
      <c r="A27" s="181" t="s">
        <v>194</v>
      </c>
      <c r="B27" s="144"/>
      <c r="C27" s="144"/>
      <c r="D27" s="144"/>
      <c r="E27" s="144"/>
      <c r="F27" s="145"/>
      <c r="G27" s="160" t="s">
        <v>204</v>
      </c>
      <c r="H27" s="160"/>
      <c r="I27" s="160"/>
      <c r="J27" s="160"/>
      <c r="K27" s="160"/>
      <c r="L27" s="160"/>
      <c r="M27" s="160"/>
      <c r="N27" s="160"/>
      <c r="O27" s="160"/>
      <c r="P27" s="160"/>
      <c r="Q27" s="160"/>
      <c r="R27" s="160"/>
      <c r="S27" s="160"/>
      <c r="T27" s="160"/>
      <c r="U27" s="160"/>
      <c r="V27" s="160"/>
      <c r="W27" s="160"/>
      <c r="X27" s="160"/>
      <c r="Y27" s="160"/>
      <c r="Z27" s="160"/>
      <c r="AA27" s="160"/>
      <c r="AB27" s="160"/>
      <c r="AC27" s="160"/>
      <c r="AD27" s="161"/>
    </row>
    <row r="28" spans="1:30" ht="192" customHeight="1" x14ac:dyDescent="0.25">
      <c r="A28" s="186" t="s">
        <v>177</v>
      </c>
      <c r="B28" s="187"/>
      <c r="C28" s="187"/>
      <c r="D28" s="187"/>
      <c r="E28" s="187"/>
      <c r="F28" s="188"/>
      <c r="G28" s="189" t="s">
        <v>195</v>
      </c>
      <c r="H28" s="190"/>
      <c r="I28" s="190"/>
      <c r="J28" s="190"/>
      <c r="K28" s="190"/>
      <c r="L28" s="190"/>
      <c r="M28" s="190"/>
      <c r="N28" s="190"/>
      <c r="O28" s="190"/>
      <c r="P28" s="190"/>
      <c r="Q28" s="190"/>
      <c r="R28" s="190"/>
      <c r="S28" s="190"/>
      <c r="T28" s="190"/>
      <c r="U28" s="190"/>
      <c r="V28" s="190"/>
      <c r="W28" s="190"/>
      <c r="X28" s="190"/>
      <c r="Y28" s="190"/>
      <c r="Z28" s="190"/>
      <c r="AA28" s="190"/>
      <c r="AB28" s="190"/>
      <c r="AC28" s="190"/>
      <c r="AD28" s="191"/>
    </row>
    <row r="29" spans="1:30" ht="1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386.25" customHeight="1" x14ac:dyDescent="0.25">
      <c r="A30" s="128" t="s">
        <v>178</v>
      </c>
      <c r="B30" s="128"/>
      <c r="C30" s="128"/>
      <c r="D30" s="128"/>
      <c r="E30" s="128"/>
      <c r="F30" s="128"/>
      <c r="G30" s="129" t="s">
        <v>233</v>
      </c>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row>
    <row r="31" spans="1:30" ht="15" customHeight="1" x14ac:dyDescent="0.25">
      <c r="A31" s="12"/>
      <c r="B31" s="12"/>
      <c r="C31" s="12"/>
      <c r="D31" s="12"/>
      <c r="E31" s="12"/>
      <c r="F31" s="12"/>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50.25" customHeight="1" x14ac:dyDescent="0.25">
      <c r="A32" s="128" t="s">
        <v>196</v>
      </c>
      <c r="B32" s="128"/>
      <c r="C32" s="128"/>
      <c r="D32" s="128"/>
      <c r="E32" s="128"/>
      <c r="F32" s="128"/>
      <c r="G32" s="185" t="s">
        <v>229</v>
      </c>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row>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58">
    <mergeCell ref="A27:F27"/>
    <mergeCell ref="G27:AD27"/>
    <mergeCell ref="A28:F28"/>
    <mergeCell ref="G28:AD28"/>
    <mergeCell ref="A24:F24"/>
    <mergeCell ref="G24:AD24"/>
    <mergeCell ref="A25:F25"/>
    <mergeCell ref="G25:AD25"/>
    <mergeCell ref="A26:F26"/>
    <mergeCell ref="G26:AD26"/>
    <mergeCell ref="B19:F19"/>
    <mergeCell ref="G19:AD19"/>
    <mergeCell ref="B20:F20"/>
    <mergeCell ref="G20:AD20"/>
    <mergeCell ref="A21:A23"/>
    <mergeCell ref="B21:F21"/>
    <mergeCell ref="G21:AD21"/>
    <mergeCell ref="B22:F22"/>
    <mergeCell ref="G22:AD22"/>
    <mergeCell ref="B23:F23"/>
    <mergeCell ref="G23:AD23"/>
    <mergeCell ref="A32:F32"/>
    <mergeCell ref="G32:AD32"/>
    <mergeCell ref="A30:F30"/>
    <mergeCell ref="G30:AD30"/>
    <mergeCell ref="A14:A16"/>
    <mergeCell ref="B14:F14"/>
    <mergeCell ref="G14:AD14"/>
    <mergeCell ref="B15:F15"/>
    <mergeCell ref="G15:AD15"/>
    <mergeCell ref="B16:F16"/>
    <mergeCell ref="G16:AD16"/>
    <mergeCell ref="A17:A20"/>
    <mergeCell ref="B17:F17"/>
    <mergeCell ref="G17:AD17"/>
    <mergeCell ref="B18:F18"/>
    <mergeCell ref="G18:AD18"/>
    <mergeCell ref="A13:F13"/>
    <mergeCell ref="G13:AD13"/>
    <mergeCell ref="A8:F8"/>
    <mergeCell ref="G8:AD8"/>
    <mergeCell ref="A9:F9"/>
    <mergeCell ref="G9:AD9"/>
    <mergeCell ref="A10:F10"/>
    <mergeCell ref="G10:AD10"/>
    <mergeCell ref="A12:AD12"/>
    <mergeCell ref="A1:AD1"/>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27" t="str">
        <f xml:space="preserve"> "ACTIVITY " &amp; 'Activity Info'!G4 &amp; " — QUESTION 3"</f>
        <v>ACTIVITY PR-004 — QUESTION 3</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t="str">
        <f>IF('Activity Info'!D38&lt;&gt;"",VLOOKUP('Activity Info'!D38,'Activity Info'!A28:G32,7),"")</f>
        <v/>
      </c>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t="str">
        <f>IF('Activity Info'!H38&lt;&gt;"",'Activity Info'!H38,"")</f>
        <v/>
      </c>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t="str">
        <f>IF('Activity Info'!N38&lt;&gt;"",'Activity Info'!N38,"")</f>
        <v/>
      </c>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t="str">
        <f>IF('Activity Info'!T38&lt;&gt;"",'Activity Info'!T38,"")</f>
        <v/>
      </c>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t="str">
        <f>IF('Activity Info'!Z38&lt;&gt;"",'Activity Info'!Z38,"")</f>
        <v/>
      </c>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97.5" customHeight="1" x14ac:dyDescent="0.25">
      <c r="A10" s="128" t="s">
        <v>175</v>
      </c>
      <c r="B10" s="128"/>
      <c r="C10" s="128"/>
      <c r="D10" s="128"/>
      <c r="E10" s="128"/>
      <c r="F10" s="128"/>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30" customHeight="1" x14ac:dyDescent="0.25">
      <c r="A16" s="139"/>
      <c r="B16" s="135" t="s">
        <v>180</v>
      </c>
      <c r="C16" s="135"/>
      <c r="D16" s="135"/>
      <c r="E16" s="135"/>
      <c r="F16" s="136"/>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30" customHeight="1" x14ac:dyDescent="0.25">
      <c r="A20" s="148"/>
      <c r="B20" s="144" t="s">
        <v>189</v>
      </c>
      <c r="C20" s="144"/>
      <c r="D20" s="144"/>
      <c r="E20" s="144"/>
      <c r="F20" s="145"/>
      <c r="G20" s="159"/>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81" t="s">
        <v>194</v>
      </c>
      <c r="B21" s="144"/>
      <c r="C21" s="144"/>
      <c r="D21" s="144"/>
      <c r="E21" s="144"/>
      <c r="F21" s="145"/>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1"/>
    </row>
    <row r="22" spans="1:30" ht="132" customHeight="1" x14ac:dyDescent="0.25">
      <c r="A22" s="186" t="s">
        <v>177</v>
      </c>
      <c r="B22" s="187"/>
      <c r="C22" s="187"/>
      <c r="D22" s="187"/>
      <c r="E22" s="187"/>
      <c r="F22" s="188"/>
      <c r="G22" s="193" t="s">
        <v>195</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1"/>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28" t="s">
        <v>178</v>
      </c>
      <c r="B24" s="128"/>
      <c r="C24" s="128"/>
      <c r="D24" s="128"/>
      <c r="E24" s="128"/>
      <c r="F24" s="128"/>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28" t="s">
        <v>196</v>
      </c>
      <c r="B26" s="128"/>
      <c r="C26" s="128"/>
      <c r="D26" s="128"/>
      <c r="E26" s="128"/>
      <c r="F26" s="128"/>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27" t="str">
        <f xml:space="preserve"> "ACTIVITY " &amp; 'Activity Info'!G4 &amp; " — QUESTION 4"</f>
        <v>ACTIVITY PR-004 — QUESTION 4</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97.5" customHeight="1" x14ac:dyDescent="0.25">
      <c r="A10" s="128" t="s">
        <v>175</v>
      </c>
      <c r="B10" s="128"/>
      <c r="C10" s="128"/>
      <c r="D10" s="128"/>
      <c r="E10" s="128"/>
      <c r="F10" s="128"/>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30" customHeight="1" x14ac:dyDescent="0.25">
      <c r="A16" s="139"/>
      <c r="B16" s="135" t="s">
        <v>180</v>
      </c>
      <c r="C16" s="135"/>
      <c r="D16" s="135"/>
      <c r="E16" s="135"/>
      <c r="F16" s="136"/>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30" customHeight="1" x14ac:dyDescent="0.25">
      <c r="A20" s="148"/>
      <c r="B20" s="144" t="s">
        <v>189</v>
      </c>
      <c r="C20" s="144"/>
      <c r="D20" s="144"/>
      <c r="E20" s="144"/>
      <c r="F20" s="145"/>
      <c r="G20" s="159"/>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81" t="s">
        <v>194</v>
      </c>
      <c r="B21" s="144"/>
      <c r="C21" s="144"/>
      <c r="D21" s="144"/>
      <c r="E21" s="144"/>
      <c r="F21" s="145"/>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1"/>
    </row>
    <row r="22" spans="1:30" ht="132" customHeight="1" x14ac:dyDescent="0.25">
      <c r="A22" s="186" t="s">
        <v>177</v>
      </c>
      <c r="B22" s="187"/>
      <c r="C22" s="187"/>
      <c r="D22" s="187"/>
      <c r="E22" s="187"/>
      <c r="F22" s="188"/>
      <c r="G22" s="193" t="s">
        <v>195</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1"/>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28" t="s">
        <v>178</v>
      </c>
      <c r="B24" s="128"/>
      <c r="C24" s="128"/>
      <c r="D24" s="128"/>
      <c r="E24" s="128"/>
      <c r="F24" s="128"/>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28" t="s">
        <v>196</v>
      </c>
      <c r="B26" s="128"/>
      <c r="C26" s="128"/>
      <c r="D26" s="128"/>
      <c r="E26" s="128"/>
      <c r="F26" s="128"/>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27" t="str">
        <f xml:space="preserve"> "ACTIVITY " &amp; 'Activity Info'!G4 &amp; " — QUESTION 5"</f>
        <v>ACTIVITY PR-004 — QUESTION 5</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97.5" customHeight="1" x14ac:dyDescent="0.25">
      <c r="A10" s="128" t="s">
        <v>175</v>
      </c>
      <c r="B10" s="128"/>
      <c r="C10" s="128"/>
      <c r="D10" s="128"/>
      <c r="E10" s="128"/>
      <c r="F10" s="128"/>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30" customHeight="1" x14ac:dyDescent="0.25">
      <c r="A16" s="139"/>
      <c r="B16" s="135" t="s">
        <v>180</v>
      </c>
      <c r="C16" s="135"/>
      <c r="D16" s="135"/>
      <c r="E16" s="135"/>
      <c r="F16" s="136"/>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30" customHeight="1" x14ac:dyDescent="0.25">
      <c r="A20" s="148"/>
      <c r="B20" s="144" t="s">
        <v>189</v>
      </c>
      <c r="C20" s="144"/>
      <c r="D20" s="144"/>
      <c r="E20" s="144"/>
      <c r="F20" s="145"/>
      <c r="G20" s="159"/>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94" t="s">
        <v>194</v>
      </c>
      <c r="B21" s="144"/>
      <c r="C21" s="144"/>
      <c r="D21" s="144"/>
      <c r="E21" s="144"/>
      <c r="F21" s="145"/>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1"/>
    </row>
    <row r="22" spans="1:30" ht="132" customHeight="1" x14ac:dyDescent="0.25">
      <c r="A22" s="186" t="s">
        <v>177</v>
      </c>
      <c r="B22" s="187"/>
      <c r="C22" s="187"/>
      <c r="D22" s="187"/>
      <c r="E22" s="187"/>
      <c r="F22" s="188"/>
      <c r="G22" s="193" t="s">
        <v>195</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1"/>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28" t="s">
        <v>178</v>
      </c>
      <c r="B24" s="128"/>
      <c r="C24" s="128"/>
      <c r="D24" s="128"/>
      <c r="E24" s="128"/>
      <c r="F24" s="128"/>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28" t="s">
        <v>196</v>
      </c>
      <c r="B26" s="128"/>
      <c r="C26" s="128"/>
      <c r="D26" s="128"/>
      <c r="E26" s="128"/>
      <c r="F26" s="128"/>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2026-08-12T15:49:06Z</cp:lastPrinted>
  <dcterms:modified xsi:type="dcterms:W3CDTF">2026-09-04T07:43:57Z</dcterms:modified>
</cp:coreProperties>
</file>